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条件" sheetId="1" state="visible" r:id="rId3"/>
    <sheet name="API単価" sheetId="2" state="visible" r:id="rId4"/>
    <sheet name="1人あたり原価" sheetId="3" state="visible" r:id="rId5"/>
    <sheet name="月次収支" sheetId="4" state="visible" r:id="rId6"/>
    <sheet name="削減施策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<sst xmlns="http://schemas.openxmlformats.org/spreadsheetml/2006/main" count="212" uniqueCount="175">
  <si>
    <r>
      <rPr>
        <b val="true"/>
        <sz val="14"/>
        <rFont val="Arial"/>
        <family val="0"/>
        <charset val="1"/>
      </rPr>
      <t xml:space="preserve">RANDISH </t>
    </r>
    <r>
      <rPr>
        <b val="true"/>
        <sz val="14"/>
        <rFont val="Noto Sans CJK SC"/>
        <family val="2"/>
      </rPr>
      <t xml:space="preserve">原価試算 — 前提条件</t>
    </r>
  </si>
  <si>
    <t xml:space="preserve">青字＝入力セル（自由に変更してください）／黒字＝計算式。数値を変えると全シートが再計算されます。</t>
  </si>
  <si>
    <r>
      <rPr>
        <sz val="9"/>
        <color rgb="FF666666"/>
        <rFont val="Noto Sans CJK SC"/>
        <family val="2"/>
      </rPr>
      <t xml:space="preserve">作成日</t>
    </r>
    <r>
      <rPr>
        <sz val="9"/>
        <color rgb="FF666666"/>
        <rFont val="Arial"/>
        <family val="0"/>
        <charset val="1"/>
      </rPr>
      <t xml:space="preserve">: 2026-08-02</t>
    </r>
  </si>
  <si>
    <t xml:space="preserve">項目</t>
  </si>
  <si>
    <t xml:space="preserve">値</t>
  </si>
  <si>
    <t xml:space="preserve">単位</t>
  </si>
  <si>
    <t xml:space="preserve">根拠・メモ</t>
  </si>
  <si>
    <r>
      <rPr>
        <sz val="11"/>
        <rFont val="Noto Sans CJK SC"/>
        <family val="2"/>
      </rPr>
      <t xml:space="preserve">為替レート（</t>
    </r>
    <r>
      <rPr>
        <sz val="11"/>
        <rFont val="Arial"/>
        <family val="0"/>
        <charset val="1"/>
      </rPr>
      <t xml:space="preserve">USD→JPY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</si>
  <si>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円</t>
    </r>
    <r>
      <rPr>
        <sz val="11"/>
        <rFont val="Arial"/>
        <family val="0"/>
        <charset val="1"/>
      </rPr>
      <t xml:space="preserve">/$</t>
    </r>
  </si>
  <si>
    <r>
      <rPr>
        <sz val="9"/>
        <color rgb="FF666666"/>
        <rFont val="Arial"/>
        <family val="0"/>
        <charset val="1"/>
      </rPr>
      <t xml:space="preserve">2026-08-02 </t>
    </r>
    <r>
      <rPr>
        <sz val="9"/>
        <color rgb="FF666666"/>
        <rFont val="Noto Sans CJK SC"/>
        <family val="2"/>
      </rPr>
      <t xml:space="preserve">時点の仲値。</t>
    </r>
    <r>
      <rPr>
        <sz val="9"/>
        <color rgb="FF666666"/>
        <rFont val="Arial"/>
        <family val="0"/>
        <charset val="1"/>
      </rPr>
      <t xml:space="preserve">xe.com</t>
    </r>
    <r>
      <rPr>
        <sz val="9"/>
        <color rgb="FF666666"/>
        <rFont val="Noto Sans CJK SC"/>
        <family val="2"/>
      </rPr>
      <t xml:space="preserve">。ドル建て</t>
    </r>
    <r>
      <rPr>
        <sz val="9"/>
        <color rgb="FF666666"/>
        <rFont val="Arial"/>
        <family val="0"/>
        <charset val="1"/>
      </rPr>
      <t xml:space="preserve">API</t>
    </r>
    <r>
      <rPr>
        <sz val="9"/>
        <color rgb="FF666666"/>
        <rFont val="Noto Sans CJK SC"/>
        <family val="2"/>
      </rPr>
      <t xml:space="preserve">費用の換算に使用</t>
    </r>
  </si>
  <si>
    <r>
      <rPr>
        <b val="true"/>
        <sz val="11"/>
        <rFont val="Noto Sans CJK SC"/>
        <family val="2"/>
      </rPr>
      <t xml:space="preserve">■ 利用者の行動（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人あたり月間）</t>
    </r>
  </si>
  <si>
    <t xml:space="preserve">ここが原価を決める最大の要因。実測が取れたら差し替えてください</t>
  </si>
  <si>
    <t xml:space="preserve">月間セッション数</t>
  </si>
  <si>
    <r>
      <rPr>
        <sz val="11"/>
        <rFont val="Noto Sans CJK SC"/>
        <family val="2"/>
      </rPr>
      <t xml:space="preserve">回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月</t>
    </r>
  </si>
  <si>
    <r>
      <rPr>
        <sz val="9"/>
        <color rgb="FF666666"/>
        <rFont val="Noto Sans CJK SC"/>
        <family val="2"/>
      </rPr>
      <t xml:space="preserve">仮定値。アプリを開いて条件を触る一連の操作を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セッションとする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</si>
  <si>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セッションの条件変更回数</t>
    </r>
  </si>
  <si>
    <t xml:space="preserve">回</t>
  </si>
  <si>
    <t xml:space="preserve">仮定値。エリア・ジャンル・予算・距離のいずれかを変えた回数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</si>
  <si>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セッションの抽選回数</t>
    </r>
  </si>
  <si>
    <r>
      <rPr>
        <sz val="9"/>
        <color rgb="FF666666"/>
        <rFont val="Noto Sans CJK SC"/>
        <family val="2"/>
      </rPr>
      <t xml:space="preserve">仮定値。食券が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日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Noto Sans CJK SC"/>
        <family val="2"/>
      </rPr>
      <t xml:space="preserve">枚なので上限まで使う想定ではない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</si>
  <si>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セッションで表示される写真枚数</t>
    </r>
  </si>
  <si>
    <t xml:space="preserve">枚</t>
  </si>
  <si>
    <t xml:space="preserve">仮定値。候補カードをスクロールして目に入る枚数</t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</si>
  <si>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レポート生成回数</t>
    </r>
  </si>
  <si>
    <r>
      <rPr>
        <sz val="9"/>
        <color rgb="FF666666"/>
        <rFont val="Noto Sans CJK SC"/>
        <family val="2"/>
      </rPr>
      <t xml:space="preserve">月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回の設計どおり</t>
    </r>
  </si>
  <si>
    <r>
      <rPr>
        <b val="true"/>
        <sz val="11"/>
        <rFont val="Arial"/>
        <family val="0"/>
        <charset val="1"/>
      </rPr>
      <t xml:space="preserve">■ 1</t>
    </r>
    <r>
      <rPr>
        <b val="true"/>
        <sz val="11"/>
        <rFont val="Noto Sans CJK SC"/>
        <family val="2"/>
      </rPr>
      <t xml:space="preserve">回の操作で飛ぶ</t>
    </r>
    <r>
      <rPr>
        <b val="true"/>
        <sz val="11"/>
        <rFont val="Arial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検索回数（コードから確定）</t>
    </r>
  </si>
  <si>
    <r>
      <rPr>
        <sz val="11"/>
        <rFont val="Noto Sans CJK SC"/>
        <family val="2"/>
      </rPr>
      <t xml:space="preserve">候補一覧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回あたりの</t>
    </r>
    <r>
      <rPr>
        <sz val="11"/>
        <rFont val="Arial"/>
        <family val="0"/>
        <charset val="1"/>
      </rPr>
      <t xml:space="preserve">Text Search</t>
    </r>
  </si>
  <si>
    <r>
      <rPr>
        <sz val="9"/>
        <color rgb="FF666666"/>
        <rFont val="Arial"/>
        <family val="0"/>
        <charset val="1"/>
      </rPr>
      <t xml:space="preserve">GooglePlacesEnrichmentService: </t>
    </r>
    <r>
      <rPr>
        <sz val="9"/>
        <color rgb="FF666666"/>
        <rFont val="Noto Sans CJK SC"/>
        <family val="2"/>
      </rPr>
      <t xml:space="preserve">ジャンル指定時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Noto Sans CJK SC"/>
        <family val="2"/>
      </rPr>
      <t xml:space="preserve">キーワード・すべて選択時</t>
    </r>
    <r>
      <rPr>
        <sz val="9"/>
        <color rgb="FF666666"/>
        <rFont val="Arial"/>
        <family val="0"/>
        <charset val="1"/>
      </rPr>
      <t xml:space="preserve">5</t>
    </r>
    <r>
      <rPr>
        <sz val="9"/>
        <color rgb="FF666666"/>
        <rFont val="Noto Sans CJK SC"/>
        <family val="2"/>
      </rPr>
      <t xml:space="preserve">キーワードを個別に検索。平均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Noto Sans CJK SC"/>
        <family val="2"/>
      </rPr>
      <t xml:space="preserve">で計算</t>
    </r>
  </si>
  <si>
    <r>
      <rPr>
        <sz val="11"/>
        <rFont val="Noto Sans CJK SC"/>
        <family val="2"/>
      </rPr>
      <t xml:space="preserve">抽選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回あたりの</t>
    </r>
    <r>
      <rPr>
        <sz val="11"/>
        <rFont val="Arial"/>
        <family val="0"/>
        <charset val="1"/>
      </rPr>
      <t xml:space="preserve">Text Search</t>
    </r>
  </si>
  <si>
    <r>
      <rPr>
        <sz val="9"/>
        <color rgb="FF666666"/>
        <rFont val="Arial"/>
        <family val="0"/>
        <charset val="1"/>
      </rPr>
      <t xml:space="preserve">NearbyPlacesService.searchNearbyCandidates </t>
    </r>
    <r>
      <rPr>
        <sz val="9"/>
        <color rgb="FF666666"/>
        <rFont val="Noto Sans CJK SC"/>
        <family val="2"/>
      </rPr>
      <t xml:space="preserve">は </t>
    </r>
    <r>
      <rPr>
        <sz val="9"/>
        <color rgb="FF666666"/>
        <rFont val="Arial"/>
        <family val="0"/>
        <charset val="1"/>
      </rPr>
      <t xml:space="preserve">reserveGoogleRequests(1)</t>
    </r>
    <r>
      <rPr>
        <sz val="9"/>
        <color rgb="FF666666"/>
        <rFont val="Noto Sans CJK SC"/>
        <family val="2"/>
      </rPr>
      <t xml:space="preserve">。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リクエスト固定</t>
    </r>
  </si>
  <si>
    <r>
      <rPr>
        <sz val="11"/>
        <rFont val="Noto Sans CJK SC"/>
        <family val="2"/>
      </rPr>
      <t xml:space="preserve">写真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枚あたりの</t>
    </r>
    <r>
      <rPr>
        <sz val="11"/>
        <rFont val="Arial"/>
        <family val="0"/>
        <charset val="1"/>
      </rPr>
      <t xml:space="preserve">Photo</t>
    </r>
    <r>
      <rPr>
        <sz val="11"/>
        <rFont val="Noto Sans CJK SC"/>
        <family val="2"/>
      </rPr>
      <t xml:space="preserve">リクエスト</t>
    </r>
  </si>
  <si>
    <r>
      <rPr>
        <sz val="9"/>
        <color rgb="FF666666"/>
        <rFont val="Arial"/>
        <family val="0"/>
        <charset val="1"/>
      </rPr>
      <t xml:space="preserve">GooglePlacesEnrichmentService.fetchPhoto </t>
    </r>
    <r>
      <rPr>
        <sz val="9"/>
        <color rgb="FF666666"/>
        <rFont val="Noto Sans CJK SC"/>
        <family val="2"/>
      </rPr>
      <t xml:space="preserve">は </t>
    </r>
    <r>
      <rPr>
        <sz val="9"/>
        <color rgb="FF666666"/>
        <rFont val="Arial"/>
        <family val="0"/>
        <charset val="1"/>
      </rPr>
      <t xml:space="preserve">Cache-Control: no-store</t>
    </r>
    <r>
      <rPr>
        <sz val="9"/>
        <color rgb="FF666666"/>
        <rFont val="Noto Sans CJK SC"/>
        <family val="2"/>
      </rPr>
      <t xml:space="preserve">。表示のたびに課金される</t>
    </r>
  </si>
  <si>
    <r>
      <rPr>
        <b val="true"/>
        <sz val="11"/>
        <rFont val="Arial"/>
        <family val="0"/>
        <charset val="1"/>
      </rPr>
      <t xml:space="preserve">■ AI</t>
    </r>
    <r>
      <rPr>
        <b val="true"/>
        <sz val="11"/>
        <rFont val="Noto Sans CJK SC"/>
        <family val="2"/>
      </rPr>
      <t xml:space="preserve">レポート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回のトークン数</t>
    </r>
  </si>
  <si>
    <t xml:space="preserve">入力トークン</t>
  </si>
  <si>
    <t xml:space="preserve">token</t>
  </si>
  <si>
    <r>
      <rPr>
        <sz val="9"/>
        <color rgb="FF666666"/>
        <rFont val="Noto Sans CJK SC"/>
        <family val="2"/>
      </rPr>
      <t xml:space="preserve">推定値。プロンプト本文＋分析</t>
    </r>
    <r>
      <rPr>
        <sz val="9"/>
        <color rgb="FF666666"/>
        <rFont val="Arial"/>
        <family val="0"/>
        <charset val="1"/>
      </rPr>
      <t xml:space="preserve">JSON</t>
    </r>
    <r>
      <rPr>
        <sz val="9"/>
        <color rgb="FF666666"/>
        <rFont val="Noto Sans CJK SC"/>
        <family val="2"/>
      </rPr>
      <t xml:space="preserve">。実測してください</t>
    </r>
  </si>
  <si>
    <t xml:space="preserve">出力トークン</t>
  </si>
  <si>
    <r>
      <rPr>
        <sz val="9"/>
        <color rgb="FF666666"/>
        <rFont val="Noto Sans CJK SC"/>
        <family val="2"/>
      </rPr>
      <t xml:space="preserve">推定値。</t>
    </r>
    <r>
      <rPr>
        <sz val="9"/>
        <color rgb="FF666666"/>
        <rFont val="Arial"/>
        <family val="0"/>
        <charset val="1"/>
      </rPr>
      <t xml:space="preserve">maxOutputTokens </t>
    </r>
    <r>
      <rPr>
        <sz val="9"/>
        <color rgb="FF666666"/>
        <rFont val="Noto Sans CJK SC"/>
        <family val="2"/>
      </rPr>
      <t xml:space="preserve">は </t>
    </r>
    <r>
      <rPr>
        <sz val="9"/>
        <color rgb="FF666666"/>
        <rFont val="Arial"/>
        <family val="0"/>
        <charset val="1"/>
      </rPr>
      <t xml:space="preserve">4096 </t>
    </r>
    <r>
      <rPr>
        <sz val="9"/>
        <color rgb="FF666666"/>
        <rFont val="Noto Sans CJK SC"/>
        <family val="2"/>
      </rPr>
      <t xml:space="preserve">だが実際の出力はこの程度</t>
    </r>
  </si>
  <si>
    <t xml:space="preserve">■ 収益の前提</t>
  </si>
  <si>
    <t xml:space="preserve">月額サブスク価格</t>
  </si>
  <si>
    <r>
      <rPr>
        <sz val="11"/>
        <rFont val="Noto Sans CJK SC"/>
        <family val="2"/>
      </rPr>
      <t xml:space="preserve">円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月</t>
    </r>
  </si>
  <si>
    <r>
      <rPr>
        <sz val="9"/>
        <color rgb="FF666666"/>
        <rFont val="Noto Sans CJK SC"/>
        <family val="2"/>
      </rPr>
      <t xml:space="preserve">税込。</t>
    </r>
    <r>
      <rPr>
        <sz val="9"/>
        <color rgb="FF666666"/>
        <rFont val="Arial"/>
        <family val="0"/>
        <charset val="1"/>
      </rPr>
      <t xml:space="preserve">RevenueCat </t>
    </r>
    <r>
      <rPr>
        <sz val="9"/>
        <color rgb="FF666666"/>
        <rFont val="Noto Sans CJK SC"/>
        <family val="2"/>
      </rPr>
      <t xml:space="preserve">経由</t>
    </r>
  </si>
  <si>
    <t xml:space="preserve">課金率（有料転換率）</t>
  </si>
  <si>
    <t xml:space="preserve">%</t>
  </si>
  <si>
    <r>
      <rPr>
        <sz val="9"/>
        <color rgb="FF666666"/>
        <rFont val="Noto Sans CJK SC"/>
        <family val="2"/>
      </rPr>
      <t xml:space="preserve">仮定値。個人向けアプリの一般的な水準は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〜</t>
    </r>
    <r>
      <rPr>
        <sz val="9"/>
        <color rgb="FF666666"/>
        <rFont val="Arial"/>
        <family val="0"/>
        <charset val="1"/>
      </rPr>
      <t xml:space="preserve">5%</t>
    </r>
  </si>
  <si>
    <t xml:space="preserve">決済手数料率</t>
  </si>
  <si>
    <r>
      <rPr>
        <sz val="9"/>
        <color rgb="FF666666"/>
        <rFont val="Arial"/>
        <family val="0"/>
        <charset val="1"/>
      </rPr>
      <t xml:space="preserve">App Store / Google Play </t>
    </r>
    <r>
      <rPr>
        <sz val="9"/>
        <color rgb="FF666666"/>
        <rFont val="Noto Sans CJK SC"/>
        <family val="2"/>
      </rPr>
      <t xml:space="preserve">は</t>
    </r>
    <r>
      <rPr>
        <sz val="9"/>
        <color rgb="FF666666"/>
        <rFont val="Arial"/>
        <family val="0"/>
        <charset val="1"/>
      </rPr>
      <t xml:space="preserve">30%</t>
    </r>
    <r>
      <rPr>
        <sz val="9"/>
        <color rgb="FF666666"/>
        <rFont val="Noto Sans CJK SC"/>
        <family val="2"/>
      </rPr>
      <t xml:space="preserve">（小規模事業者プログラムなら</t>
    </r>
    <r>
      <rPr>
        <sz val="9"/>
        <color rgb="FF666666"/>
        <rFont val="Arial"/>
        <family val="0"/>
        <charset val="1"/>
      </rPr>
      <t xml:space="preserve">15%</t>
    </r>
    <r>
      <rPr>
        <sz val="9"/>
        <color rgb="FF666666"/>
        <rFont val="Noto Sans CJK SC"/>
        <family val="2"/>
      </rPr>
      <t xml:space="preserve">）。</t>
    </r>
    <r>
      <rPr>
        <sz val="9"/>
        <color rgb="FF666666"/>
        <rFont val="Arial"/>
        <family val="0"/>
        <charset val="1"/>
      </rPr>
      <t xml:space="preserve">Web</t>
    </r>
    <r>
      <rPr>
        <sz val="9"/>
        <color rgb="FF666666"/>
        <rFont val="Noto Sans CJK SC"/>
        <family val="2"/>
      </rPr>
      <t xml:space="preserve">決済なら</t>
    </r>
    <r>
      <rPr>
        <sz val="9"/>
        <color rgb="FF666666"/>
        <rFont val="Arial"/>
        <family val="0"/>
        <charset val="1"/>
      </rPr>
      <t xml:space="preserve">3.6%</t>
    </r>
    <r>
      <rPr>
        <sz val="9"/>
        <color rgb="FF666666"/>
        <rFont val="Noto Sans CJK SC"/>
        <family val="2"/>
      </rPr>
      <t xml:space="preserve">程度</t>
    </r>
  </si>
  <si>
    <r>
      <rPr>
        <sz val="11"/>
        <rFont val="Noto Sans CJK SC"/>
        <family val="2"/>
      </rPr>
      <t xml:space="preserve">広告</t>
    </r>
    <r>
      <rPr>
        <sz val="11"/>
        <rFont val="Arial"/>
        <family val="0"/>
        <charset val="1"/>
      </rPr>
      <t xml:space="preserve">ARPU</t>
    </r>
    <r>
      <rPr>
        <sz val="11"/>
        <rFont val="Noto Sans CJK SC"/>
        <family val="2"/>
      </rPr>
      <t xml:space="preserve">（無料ユーザー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人あたり）</t>
    </r>
  </si>
  <si>
    <t xml:space="preserve">仮定値。バナー中心の場合の目安。実績が出たら差し替え</t>
  </si>
  <si>
    <r>
      <rPr>
        <b val="true"/>
        <sz val="14"/>
        <rFont val="Arial"/>
        <family val="0"/>
        <charset val="1"/>
      </rPr>
      <t xml:space="preserve">API</t>
    </r>
    <r>
      <rPr>
        <b val="true"/>
        <sz val="14"/>
        <rFont val="Noto Sans CJK SC"/>
        <family val="2"/>
      </rPr>
      <t xml:space="preserve">・インフラ単価（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年</t>
    </r>
    <r>
      <rPr>
        <b val="true"/>
        <sz val="14"/>
        <rFont val="Arial"/>
        <family val="0"/>
        <charset val="1"/>
      </rPr>
      <t xml:space="preserve">8</t>
    </r>
    <r>
      <rPr>
        <b val="true"/>
        <sz val="14"/>
        <rFont val="Noto Sans CJK SC"/>
        <family val="2"/>
      </rPr>
      <t xml:space="preserve">月時点の公式価格）</t>
    </r>
  </si>
  <si>
    <r>
      <rPr>
        <sz val="9"/>
        <color rgb="FF666666"/>
        <rFont val="Noto Sans CJK SC"/>
        <family val="2"/>
      </rPr>
      <t xml:space="preserve">出典</t>
    </r>
    <r>
      <rPr>
        <sz val="9"/>
        <color rgb="FF666666"/>
        <rFont val="Arial"/>
        <family val="0"/>
        <charset val="1"/>
      </rPr>
      <t xml:space="preserve">: Google Maps Platform </t>
    </r>
    <r>
      <rPr>
        <sz val="9"/>
        <color rgb="FF666666"/>
        <rFont val="Noto Sans CJK SC"/>
        <family val="2"/>
      </rPr>
      <t xml:space="preserve">価格表（最終更新 </t>
    </r>
    <r>
      <rPr>
        <sz val="9"/>
        <color rgb="FF666666"/>
        <rFont val="Arial"/>
        <family val="0"/>
        <charset val="1"/>
      </rPr>
      <t xml:space="preserve">2026-07-20</t>
    </r>
    <r>
      <rPr>
        <sz val="9"/>
        <color rgb="FF666666"/>
        <rFont val="Noto Sans CJK SC"/>
        <family val="2"/>
      </rPr>
      <t xml:space="preserve">）／</t>
    </r>
    <r>
      <rPr>
        <sz val="9"/>
        <color rgb="FF666666"/>
        <rFont val="Arial"/>
        <family val="0"/>
        <charset val="1"/>
      </rPr>
      <t xml:space="preserve">Gemini API </t>
    </r>
    <r>
      <rPr>
        <sz val="9"/>
        <color rgb="FF666666"/>
        <rFont val="Noto Sans CJK SC"/>
        <family val="2"/>
      </rPr>
      <t xml:space="preserve">価格表／各社公式</t>
    </r>
  </si>
  <si>
    <t xml:space="preserve">サービス</t>
  </si>
  <si>
    <r>
      <rPr>
        <b val="true"/>
        <sz val="11"/>
        <color rgb="FFFFFFFF"/>
        <rFont val="Arial"/>
        <family val="0"/>
        <charset val="1"/>
      </rPr>
      <t xml:space="preserve">SKU / </t>
    </r>
    <r>
      <rPr>
        <b val="true"/>
        <sz val="11"/>
        <color rgb="FFFFFFFF"/>
        <rFont val="Noto Sans CJK SC"/>
        <family val="2"/>
      </rPr>
      <t xml:space="preserve">プラン</t>
    </r>
  </si>
  <si>
    <t xml:space="preserve">無料枠（月）</t>
  </si>
  <si>
    <t xml:space="preserve">超過後の単価</t>
  </si>
  <si>
    <t xml:space="preserve">備考</t>
  </si>
  <si>
    <t xml:space="preserve">Google Places</t>
  </si>
  <si>
    <t xml:space="preserve">Text Search Pro</t>
  </si>
  <si>
    <r>
      <rPr>
        <sz val="11"/>
        <rFont val="Arial"/>
        <family val="0"/>
        <charset val="1"/>
      </rPr>
      <t xml:space="preserve">$/1,000</t>
    </r>
    <r>
      <rPr>
        <sz val="11"/>
        <rFont val="Noto Sans CJK SC"/>
        <family val="2"/>
      </rPr>
      <t xml:space="preserve">回</t>
    </r>
  </si>
  <si>
    <r>
      <rPr>
        <sz val="9"/>
        <color rgb="FF666666"/>
        <rFont val="Noto Sans CJK SC"/>
        <family val="2"/>
      </rPr>
      <t xml:space="preserve">候補一覧と抽選で使用。</t>
    </r>
    <r>
      <rPr>
        <sz val="9"/>
        <color rgb="FF666666"/>
        <rFont val="Arial"/>
        <family val="0"/>
        <charset val="1"/>
      </rPr>
      <t xml:space="preserve">RANDISH</t>
    </r>
    <r>
      <rPr>
        <sz val="9"/>
        <color rgb="FF666666"/>
        <rFont val="Noto Sans CJK SC"/>
        <family val="2"/>
      </rPr>
      <t xml:space="preserve">の最大のコスト要因</t>
    </r>
  </si>
  <si>
    <t xml:space="preserve">Place Details Photos</t>
  </si>
  <si>
    <r>
      <rPr>
        <sz val="9"/>
        <color rgb="FF666666"/>
        <rFont val="Noto Sans CJK SC"/>
        <family val="2"/>
      </rPr>
      <t xml:space="preserve">店舗写真。</t>
    </r>
    <r>
      <rPr>
        <sz val="9"/>
        <color rgb="FF666666"/>
        <rFont val="Arial"/>
        <family val="0"/>
        <charset val="1"/>
      </rPr>
      <t xml:space="preserve">no-store</t>
    </r>
    <r>
      <rPr>
        <sz val="9"/>
        <color rgb="FF666666"/>
        <rFont val="Noto Sans CJK SC"/>
        <family val="2"/>
      </rPr>
      <t xml:space="preserve">のため表示ごとに課金</t>
    </r>
  </si>
  <si>
    <t xml:space="preserve">Google Maps</t>
  </si>
  <si>
    <t xml:space="preserve">Maps Embed API</t>
  </si>
  <si>
    <t xml:space="preserve">—</t>
  </si>
  <si>
    <t xml:space="preserve">$</t>
  </si>
  <si>
    <r>
      <rPr>
        <sz val="9"/>
        <color rgb="FF666666"/>
        <rFont val="Noto Sans CJK SC"/>
        <family val="2"/>
      </rPr>
      <t xml:space="preserve">無制限で無料。</t>
    </r>
    <r>
      <rPr>
        <sz val="9"/>
        <color rgb="FF666666"/>
        <rFont val="Arial"/>
        <family val="0"/>
        <charset val="1"/>
      </rPr>
      <t xml:space="preserve">Web</t>
    </r>
    <r>
      <rPr>
        <sz val="9"/>
        <color rgb="FF666666"/>
        <rFont val="Noto Sans CJK SC"/>
        <family val="2"/>
      </rPr>
      <t xml:space="preserve">の地図はこれを使用（コスト</t>
    </r>
    <r>
      <rPr>
        <sz val="9"/>
        <color rgb="FF666666"/>
        <rFont val="Arial"/>
        <family val="0"/>
        <charset val="1"/>
      </rPr>
      <t xml:space="preserve">0</t>
    </r>
    <r>
      <rPr>
        <sz val="9"/>
        <color rgb="FF666666"/>
        <rFont val="Noto Sans CJK SC"/>
        <family val="2"/>
      </rPr>
      <t xml:space="preserve">）</t>
    </r>
  </si>
  <si>
    <t xml:space="preserve">Dynamic Maps (SDK)</t>
  </si>
  <si>
    <r>
      <rPr>
        <sz val="9"/>
        <color rgb="FF666666"/>
        <rFont val="Arial"/>
        <family val="0"/>
        <charset val="1"/>
      </rPr>
      <t xml:space="preserve">iOS/Android SDK</t>
    </r>
    <r>
      <rPr>
        <sz val="9"/>
        <color rgb="FF666666"/>
        <rFont val="Noto Sans CJK SC"/>
        <family val="2"/>
      </rPr>
      <t xml:space="preserve">の地図表示は無料（</t>
    </r>
    <r>
      <rPr>
        <sz val="9"/>
        <color rgb="FF666666"/>
        <rFont val="Arial"/>
        <family val="0"/>
        <charset val="1"/>
      </rPr>
      <t xml:space="preserve">Maps SDK</t>
    </r>
    <r>
      <rPr>
        <sz val="9"/>
        <color rgb="FF666666"/>
        <rFont val="Noto Sans CJK SC"/>
        <family val="2"/>
      </rPr>
      <t xml:space="preserve">）</t>
    </r>
  </si>
  <si>
    <t xml:space="preserve">Gemini</t>
  </si>
  <si>
    <r>
      <rPr>
        <sz val="11"/>
        <rFont val="Arial"/>
        <family val="0"/>
        <charset val="1"/>
      </rPr>
      <t xml:space="preserve">2.5 Flash </t>
    </r>
    <r>
      <rPr>
        <sz val="11"/>
        <rFont val="Noto Sans CJK SC"/>
        <family val="2"/>
      </rPr>
      <t xml:space="preserve">入力</t>
    </r>
  </si>
  <si>
    <r>
      <rPr>
        <sz val="11"/>
        <rFont val="Arial"/>
        <family val="0"/>
        <charset val="1"/>
      </rPr>
      <t xml:space="preserve">$/100</t>
    </r>
    <r>
      <rPr>
        <sz val="11"/>
        <rFont val="Noto Sans CJK SC"/>
        <family val="2"/>
      </rPr>
      <t xml:space="preserve">万</t>
    </r>
    <r>
      <rPr>
        <sz val="11"/>
        <rFont val="Arial"/>
        <family val="0"/>
        <charset val="1"/>
      </rPr>
      <t xml:space="preserve">token</t>
    </r>
  </si>
  <si>
    <r>
      <rPr>
        <sz val="9"/>
        <color rgb="FF666666"/>
        <rFont val="Arial"/>
        <family val="0"/>
        <charset val="1"/>
      </rPr>
      <t xml:space="preserve">AI</t>
    </r>
    <r>
      <rPr>
        <sz val="9"/>
        <color rgb="FF666666"/>
        <rFont val="Noto Sans CJK SC"/>
        <family val="2"/>
      </rPr>
      <t xml:space="preserve">レポート生成</t>
    </r>
  </si>
  <si>
    <r>
      <rPr>
        <sz val="11"/>
        <rFont val="Arial"/>
        <family val="0"/>
        <charset val="1"/>
      </rPr>
      <t xml:space="preserve">2.5 Flash </t>
    </r>
    <r>
      <rPr>
        <sz val="11"/>
        <rFont val="Noto Sans CJK SC"/>
        <family val="2"/>
      </rPr>
      <t xml:space="preserve">出力</t>
    </r>
  </si>
  <si>
    <r>
      <rPr>
        <sz val="9"/>
        <color rgb="FF666666"/>
        <rFont val="Noto Sans CJK SC"/>
        <family val="2"/>
      </rPr>
      <t xml:space="preserve">思考トークン込み。</t>
    </r>
    <r>
      <rPr>
        <sz val="9"/>
        <color rgb="FF666666"/>
        <rFont val="Arial"/>
        <family val="0"/>
        <charset val="1"/>
      </rPr>
      <t xml:space="preserve">thinkingBudget=0</t>
    </r>
    <r>
      <rPr>
        <sz val="9"/>
        <color rgb="FF666666"/>
        <rFont val="Noto Sans CJK SC"/>
        <family val="2"/>
      </rPr>
      <t xml:space="preserve">で抑制済み</t>
    </r>
  </si>
  <si>
    <r>
      <rPr>
        <sz val="11"/>
        <rFont val="Arial"/>
        <family val="0"/>
        <charset val="1"/>
      </rPr>
      <t xml:space="preserve">2.5 Flash-Lite </t>
    </r>
    <r>
      <rPr>
        <sz val="11"/>
        <rFont val="Noto Sans CJK SC"/>
        <family val="2"/>
      </rPr>
      <t xml:space="preserve">入力</t>
    </r>
  </si>
  <si>
    <r>
      <rPr>
        <sz val="9"/>
        <color rgb="FF666666"/>
        <rFont val="Noto Sans CJK SC"/>
        <family val="2"/>
      </rPr>
      <t xml:space="preserve">代替案。</t>
    </r>
    <r>
      <rPr>
        <sz val="9"/>
        <color rgb="FF666666"/>
        <rFont val="Arial"/>
        <family val="0"/>
        <charset val="1"/>
      </rPr>
      <t xml:space="preserve">Flash</t>
    </r>
    <r>
      <rPr>
        <sz val="9"/>
        <color rgb="FF666666"/>
        <rFont val="Noto Sans CJK SC"/>
        <family val="2"/>
      </rPr>
      <t xml:space="preserve">の</t>
    </r>
    <r>
      <rPr>
        <sz val="9"/>
        <color rgb="FF666666"/>
        <rFont val="Arial"/>
        <family val="0"/>
        <charset val="1"/>
      </rPr>
      <t xml:space="preserve">1/3</t>
    </r>
  </si>
  <si>
    <r>
      <rPr>
        <sz val="11"/>
        <rFont val="Arial"/>
        <family val="0"/>
        <charset val="1"/>
      </rPr>
      <t xml:space="preserve">2.5 Flash-Lite </t>
    </r>
    <r>
      <rPr>
        <sz val="11"/>
        <rFont val="Noto Sans CJK SC"/>
        <family val="2"/>
      </rPr>
      <t xml:space="preserve">出力</t>
    </r>
  </si>
  <si>
    <r>
      <rPr>
        <sz val="9"/>
        <color rgb="FF666666"/>
        <rFont val="Noto Sans CJK SC"/>
        <family val="2"/>
      </rPr>
      <t xml:space="preserve">代替案。</t>
    </r>
    <r>
      <rPr>
        <sz val="9"/>
        <color rgb="FF666666"/>
        <rFont val="Arial"/>
        <family val="0"/>
        <charset val="1"/>
      </rPr>
      <t xml:space="preserve">Flash</t>
    </r>
    <r>
      <rPr>
        <sz val="9"/>
        <color rgb="FF666666"/>
        <rFont val="Noto Sans CJK SC"/>
        <family val="2"/>
      </rPr>
      <t xml:space="preserve">の</t>
    </r>
    <r>
      <rPr>
        <sz val="9"/>
        <color rgb="FF666666"/>
        <rFont val="Arial"/>
        <family val="0"/>
        <charset val="1"/>
      </rPr>
      <t xml:space="preserve">1/6</t>
    </r>
  </si>
  <si>
    <t xml:space="preserve">HotPepper</t>
  </si>
  <si>
    <r>
      <rPr>
        <sz val="11"/>
        <rFont val="Noto Sans CJK SC"/>
        <family val="2"/>
      </rPr>
      <t xml:space="preserve">グルメサーチ</t>
    </r>
    <r>
      <rPr>
        <sz val="11"/>
        <rFont val="Arial"/>
        <family val="0"/>
        <charset val="1"/>
      </rPr>
      <t xml:space="preserve">API</t>
    </r>
  </si>
  <si>
    <t xml:space="preserve">円</t>
  </si>
  <si>
    <r>
      <rPr>
        <sz val="9"/>
        <color rgb="FF666666"/>
        <rFont val="Noto Sans CJK SC"/>
        <family val="2"/>
      </rPr>
      <t xml:space="preserve">無料。写真つきで返るため</t>
    </r>
    <r>
      <rPr>
        <sz val="9"/>
        <color rgb="FF666666"/>
        <rFont val="Arial"/>
        <family val="0"/>
        <charset val="1"/>
      </rPr>
      <t xml:space="preserve">Google</t>
    </r>
    <r>
      <rPr>
        <sz val="9"/>
        <color rgb="FF666666"/>
        <rFont val="Noto Sans CJK SC"/>
        <family val="2"/>
      </rPr>
      <t xml:space="preserve">の代替になる</t>
    </r>
  </si>
  <si>
    <t xml:space="preserve">Geoapify</t>
  </si>
  <si>
    <t xml:space="preserve">Places API</t>
  </si>
  <si>
    <t xml:space="preserve">無料枠内で運用中。写真は返らない</t>
  </si>
  <si>
    <t xml:space="preserve">■ 固定費（月額）</t>
  </si>
  <si>
    <t xml:space="preserve">プラン</t>
  </si>
  <si>
    <r>
      <rPr>
        <b val="true"/>
        <sz val="11"/>
        <color rgb="FFFFFFFF"/>
        <rFont val="Noto Sans CJK SC"/>
        <family val="2"/>
      </rPr>
      <t xml:space="preserve">月額</t>
    </r>
    <r>
      <rPr>
        <b val="true"/>
        <sz val="11"/>
        <color rgb="FFFFFFFF"/>
        <rFont val="Arial"/>
        <family val="0"/>
        <charset val="1"/>
      </rPr>
      <t xml:space="preserve">(USD)</t>
    </r>
  </si>
  <si>
    <r>
      <rPr>
        <b val="true"/>
        <sz val="11"/>
        <color rgb="FFFFFFFF"/>
        <rFont val="Noto Sans CJK SC"/>
        <family val="2"/>
      </rPr>
      <t xml:space="preserve">月額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</si>
  <si>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Render</t>
  </si>
  <si>
    <t xml:space="preserve">Starter (512MB)</t>
  </si>
  <si>
    <r>
      <rPr>
        <sz val="9"/>
        <color rgb="FF666666"/>
        <rFont val="Noto Sans CJK SC"/>
        <family val="2"/>
      </rPr>
      <t xml:space="preserve">コールドスタート</t>
    </r>
    <r>
      <rPr>
        <sz val="9"/>
        <color rgb="FF666666"/>
        <rFont val="Arial"/>
        <family val="0"/>
        <charset val="1"/>
      </rPr>
      <t xml:space="preserve">63</t>
    </r>
    <r>
      <rPr>
        <sz val="9"/>
        <color rgb="FF666666"/>
        <rFont val="Noto Sans CJK SC"/>
        <family val="2"/>
      </rPr>
      <t xml:space="preserve">秒を解消するために必須。無料枠だと初回が必ず遅い</t>
    </r>
  </si>
  <si>
    <t xml:space="preserve">Supabase</t>
  </si>
  <si>
    <t xml:space="preserve">Free</t>
  </si>
  <si>
    <r>
      <rPr>
        <sz val="9"/>
        <color rgb="FF666666"/>
        <rFont val="Noto Sans CJK SC"/>
        <family val="2"/>
      </rPr>
      <t xml:space="preserve">無料枠で </t>
    </r>
    <r>
      <rPr>
        <sz val="9"/>
        <color rgb="FF666666"/>
        <rFont val="Arial"/>
        <family val="0"/>
        <charset val="1"/>
      </rPr>
      <t xml:space="preserve">50,000 MAU</t>
    </r>
    <r>
      <rPr>
        <sz val="9"/>
        <color rgb="FF666666"/>
        <rFont val="Noto Sans CJK SC"/>
        <family val="2"/>
      </rPr>
      <t xml:space="preserve">・</t>
    </r>
    <r>
      <rPr>
        <sz val="9"/>
        <color rgb="FF666666"/>
        <rFont val="Arial"/>
        <family val="0"/>
        <charset val="1"/>
      </rPr>
      <t xml:space="preserve">DB 500MB </t>
    </r>
    <r>
      <rPr>
        <sz val="9"/>
        <color rgb="FF666666"/>
        <rFont val="Noto Sans CJK SC"/>
        <family val="2"/>
      </rPr>
      <t xml:space="preserve">まで。</t>
    </r>
    <r>
      <rPr>
        <sz val="9"/>
        <color rgb="FF666666"/>
        <rFont val="Arial"/>
        <family val="0"/>
        <charset val="1"/>
      </rPr>
      <t xml:space="preserve">7</t>
    </r>
    <r>
      <rPr>
        <sz val="9"/>
        <color rgb="FF666666"/>
        <rFont val="Noto Sans CJK SC"/>
        <family val="2"/>
      </rPr>
      <t xml:space="preserve">日間無操作で停止する点に注意</t>
    </r>
  </si>
  <si>
    <t xml:space="preserve">Vercel</t>
  </si>
  <si>
    <t xml:space="preserve">Hobby</t>
  </si>
  <si>
    <r>
      <rPr>
        <sz val="9"/>
        <color rgb="FF666666"/>
        <rFont val="Noto Sans CJK SC"/>
        <family val="2"/>
      </rPr>
      <t xml:space="preserve">個人利用は無料。収益化すると規約上 </t>
    </r>
    <r>
      <rPr>
        <sz val="9"/>
        <color rgb="FF666666"/>
        <rFont val="Arial"/>
        <family val="0"/>
        <charset val="1"/>
      </rPr>
      <t xml:space="preserve">Pro($20/</t>
    </r>
    <r>
      <rPr>
        <sz val="9"/>
        <color rgb="FF666666"/>
        <rFont val="Noto Sans CJK SC"/>
        <family val="2"/>
      </rPr>
      <t xml:space="preserve">月</t>
    </r>
    <r>
      <rPr>
        <sz val="9"/>
        <color rgb="FF666666"/>
        <rFont val="Arial"/>
        <family val="0"/>
        <charset val="1"/>
      </rPr>
      <t xml:space="preserve">) </t>
    </r>
    <r>
      <rPr>
        <sz val="9"/>
        <color rgb="FF666666"/>
        <rFont val="Noto Sans CJK SC"/>
        <family val="2"/>
      </rPr>
      <t xml:space="preserve">が必要になる</t>
    </r>
  </si>
  <si>
    <t xml:space="preserve">Resend</t>
  </si>
  <si>
    <t xml:space="preserve">認証コード送信。無料枠の上限は要確認</t>
  </si>
  <si>
    <t xml:space="preserve">固定費 合計</t>
  </si>
  <si>
    <r>
      <rPr>
        <b val="true"/>
        <sz val="14"/>
        <rFont val="Noto Sans CJK SC"/>
        <family val="2"/>
      </rPr>
      <t xml:space="preserve">利用者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人あたりの月間原価</t>
    </r>
  </si>
  <si>
    <t xml:space="preserve">無料枠は「サービス全体の月間上限」なので、ここでは無料枠を使い切った後の限界原価として計算しています。</t>
  </si>
  <si>
    <t xml:space="preserve">計算式</t>
  </si>
  <si>
    <r>
      <rPr>
        <b val="true"/>
        <sz val="11"/>
        <color rgb="FFFFFFFF"/>
        <rFont val="Noto Sans CJK SC"/>
        <family val="2"/>
      </rPr>
      <t xml:space="preserve">回数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</si>
  <si>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Noto Sans CJK SC"/>
        <family val="2"/>
      </rPr>
      <t xml:space="preserve">単価</t>
    </r>
    <r>
      <rPr>
        <b val="true"/>
        <sz val="11"/>
        <color rgb="FFFFFFFF"/>
        <rFont val="Arial"/>
        <family val="0"/>
        <charset val="1"/>
      </rPr>
      <t xml:space="preserve">(USD)</t>
    </r>
  </si>
  <si>
    <r>
      <rPr>
        <b val="true"/>
        <sz val="11"/>
        <color rgb="FFFFFFFF"/>
        <rFont val="Noto Sans CJK SC"/>
        <family val="2"/>
      </rPr>
      <t xml:space="preserve">原価</t>
    </r>
    <r>
      <rPr>
        <b val="true"/>
        <sz val="11"/>
        <color rgb="FFFFFFFF"/>
        <rFont val="Arial"/>
        <family val="0"/>
        <charset val="1"/>
      </rPr>
      <t xml:space="preserve">(USD)</t>
    </r>
  </si>
  <si>
    <r>
      <rPr>
        <b val="true"/>
        <sz val="11"/>
        <color rgb="FFFFFFFF"/>
        <rFont val="Noto Sans CJK SC"/>
        <family val="2"/>
      </rPr>
      <t xml:space="preserve">原価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</si>
  <si>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Google Text Search</t>
    </r>
    <r>
      <rPr>
        <sz val="11"/>
        <rFont val="Noto Sans CJK SC"/>
        <family val="2"/>
      </rPr>
      <t xml:space="preserve">（候補一覧）</t>
    </r>
  </si>
  <si>
    <r>
      <rPr>
        <sz val="9"/>
        <color rgb="FF666666"/>
        <rFont val="Noto Sans CJK SC"/>
        <family val="2"/>
      </rPr>
      <t xml:space="preserve">セッション </t>
    </r>
    <r>
      <rPr>
        <sz val="9"/>
        <color rgb="FF666666"/>
        <rFont val="Arial"/>
        <family val="0"/>
        <charset val="1"/>
      </rPr>
      <t xml:space="preserve">× </t>
    </r>
    <r>
      <rPr>
        <sz val="9"/>
        <color rgb="FF666666"/>
        <rFont val="Noto Sans CJK SC"/>
        <family val="2"/>
      </rPr>
      <t xml:space="preserve">条件変更 </t>
    </r>
    <r>
      <rPr>
        <sz val="9"/>
        <color rgb="FF666666"/>
        <rFont val="Arial"/>
        <family val="0"/>
        <charset val="1"/>
      </rPr>
      <t xml:space="preserve">× </t>
    </r>
    <r>
      <rPr>
        <sz val="9"/>
        <color rgb="FF666666"/>
        <rFont val="Noto Sans CJK SC"/>
        <family val="2"/>
      </rPr>
      <t xml:space="preserve">キーワード数</t>
    </r>
  </si>
  <si>
    <r>
      <rPr>
        <sz val="11"/>
        <rFont val="Arial"/>
        <family val="0"/>
        <charset val="1"/>
      </rPr>
      <t xml:space="preserve">Google Text Search</t>
    </r>
    <r>
      <rPr>
        <sz val="11"/>
        <rFont val="Noto Sans CJK SC"/>
        <family val="2"/>
      </rPr>
      <t xml:space="preserve">（抽選）</t>
    </r>
  </si>
  <si>
    <r>
      <rPr>
        <sz val="9"/>
        <color rgb="FF666666"/>
        <rFont val="Noto Sans CJK SC"/>
        <family val="2"/>
      </rPr>
      <t xml:space="preserve">セッション </t>
    </r>
    <r>
      <rPr>
        <sz val="9"/>
        <color rgb="FF666666"/>
        <rFont val="Arial"/>
        <family val="0"/>
        <charset val="1"/>
      </rPr>
      <t xml:space="preserve">× </t>
    </r>
    <r>
      <rPr>
        <sz val="9"/>
        <color rgb="FF666666"/>
        <rFont val="Noto Sans CJK SC"/>
        <family val="2"/>
      </rPr>
      <t xml:space="preserve">抽選回数 </t>
    </r>
    <r>
      <rPr>
        <sz val="9"/>
        <color rgb="FF666666"/>
        <rFont val="Arial"/>
        <family val="0"/>
        <charset val="1"/>
      </rPr>
      <t xml:space="preserve">× 1</t>
    </r>
  </si>
  <si>
    <r>
      <rPr>
        <sz val="11"/>
        <rFont val="Arial"/>
        <family val="0"/>
        <charset val="1"/>
      </rPr>
      <t xml:space="preserve">Google </t>
    </r>
    <r>
      <rPr>
        <sz val="11"/>
        <rFont val="Noto Sans CJK SC"/>
        <family val="2"/>
      </rPr>
      <t xml:space="preserve">店舗写真</t>
    </r>
  </si>
  <si>
    <r>
      <rPr>
        <sz val="9"/>
        <color rgb="FF666666"/>
        <rFont val="Noto Sans CJK SC"/>
        <family val="2"/>
      </rPr>
      <t xml:space="preserve">セッション </t>
    </r>
    <r>
      <rPr>
        <sz val="9"/>
        <color rgb="FF666666"/>
        <rFont val="Arial"/>
        <family val="0"/>
        <charset val="1"/>
      </rPr>
      <t xml:space="preserve">× </t>
    </r>
    <r>
      <rPr>
        <sz val="9"/>
        <color rgb="FF666666"/>
        <rFont val="Noto Sans CJK SC"/>
        <family val="2"/>
      </rPr>
      <t xml:space="preserve">表示枚数（キャッシュ無し）</t>
    </r>
  </si>
  <si>
    <r>
      <rPr>
        <sz val="11"/>
        <rFont val="Arial"/>
        <family val="0"/>
        <charset val="1"/>
      </rPr>
      <t xml:space="preserve">Gemini AI</t>
    </r>
    <r>
      <rPr>
        <sz val="11"/>
        <rFont val="Noto Sans CJK SC"/>
        <family val="2"/>
      </rPr>
      <t xml:space="preserve">レポート</t>
    </r>
  </si>
  <si>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入力</t>
    </r>
    <r>
      <rPr>
        <sz val="9"/>
        <color rgb="FF666666"/>
        <rFont val="Arial"/>
        <family val="0"/>
        <charset val="1"/>
      </rPr>
      <t xml:space="preserve">token×</t>
    </r>
    <r>
      <rPr>
        <sz val="9"/>
        <color rgb="FF666666"/>
        <rFont val="Noto Sans CJK SC"/>
        <family val="2"/>
      </rPr>
      <t xml:space="preserve">単価 </t>
    </r>
    <r>
      <rPr>
        <sz val="9"/>
        <color rgb="FF666666"/>
        <rFont val="Arial"/>
        <family val="0"/>
        <charset val="1"/>
      </rPr>
      <t xml:space="preserve">+ </t>
    </r>
    <r>
      <rPr>
        <sz val="9"/>
        <color rgb="FF666666"/>
        <rFont val="Noto Sans CJK SC"/>
        <family val="2"/>
      </rPr>
      <t xml:space="preserve">出力</t>
    </r>
    <r>
      <rPr>
        <sz val="9"/>
        <color rgb="FF666666"/>
        <rFont val="Arial"/>
        <family val="0"/>
        <charset val="1"/>
      </rPr>
      <t xml:space="preserve">token×</t>
    </r>
    <r>
      <rPr>
        <sz val="9"/>
        <color rgb="FF666666"/>
        <rFont val="Noto Sans CJK SC"/>
        <family val="2"/>
      </rPr>
      <t xml:space="preserve">単価</t>
    </r>
    <r>
      <rPr>
        <sz val="9"/>
        <color rgb="FF666666"/>
        <rFont val="Arial"/>
        <family val="0"/>
        <charset val="1"/>
      </rPr>
      <t xml:space="preserve">) × </t>
    </r>
    <r>
      <rPr>
        <sz val="9"/>
        <color rgb="FF666666"/>
        <rFont val="Noto Sans CJK SC"/>
        <family val="2"/>
      </rPr>
      <t xml:space="preserve">回数</t>
    </r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</si>
  <si>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人あたり月間原価 合計</t>
    </r>
  </si>
  <si>
    <t xml:space="preserve">■ 損益分岐の確認</t>
  </si>
  <si>
    <r>
      <rPr>
        <sz val="11"/>
        <rFont val="Noto Sans CJK SC"/>
        <family val="2"/>
      </rPr>
      <t xml:space="preserve">サブスク収入（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人・手数料後）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</si>
  <si>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人あたり原価（上の合計）</t>
    </r>
  </si>
  <si>
    <r>
      <rPr>
        <b val="true"/>
        <sz val="11"/>
        <rFont val="Noto Sans CJK SC"/>
        <family val="2"/>
      </rPr>
      <t xml:space="preserve">差引（有料ユーザー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人あたり）</t>
    </r>
  </si>
  <si>
    <t xml:space="preserve">← マイナスなら、課金するほど赤字が増えるという意味</t>
  </si>
  <si>
    <t xml:space="preserve">原価を賄うのに必要な月額</t>
  </si>
  <si>
    <t xml:space="preserve">← 現状の使い方を変えないまま黒字にするなら、この価格が必要</t>
  </si>
  <si>
    <t xml:space="preserve">規模別の月次収支シミュレーション</t>
  </si>
  <si>
    <r>
      <rPr>
        <sz val="9"/>
        <color rgb="FF666666"/>
        <rFont val="Arial"/>
        <family val="0"/>
        <charset val="1"/>
      </rPr>
      <t xml:space="preserve">MAU</t>
    </r>
    <r>
      <rPr>
        <sz val="9"/>
        <color rgb="FF666666"/>
        <rFont val="Noto Sans CJK SC"/>
        <family val="2"/>
      </rPr>
      <t xml:space="preserve">（月間利用者数）を変えたときの収入・原価・利益。無料枠は全体に一度だけ効くため考慮済み。</t>
    </r>
  </si>
  <si>
    <t xml:space="preserve">MAU</t>
  </si>
  <si>
    <t xml:space="preserve">有料
ユーザー数</t>
  </si>
  <si>
    <r>
      <rPr>
        <b val="true"/>
        <sz val="11"/>
        <color rgb="FFFFFFFF"/>
        <rFont val="Noto Sans CJK SC"/>
        <family val="2"/>
      </rPr>
      <t xml:space="preserve">サブスク収入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手数料後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</si>
  <si>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広告収入</t>
  </si>
  <si>
    <t xml:space="preserve">収入合計</t>
  </si>
  <si>
    <r>
      <rPr>
        <b val="true"/>
        <sz val="11"/>
        <color rgb="FFFFFFFF"/>
        <rFont val="Arial"/>
        <family val="0"/>
        <charset val="1"/>
      </rPr>
      <t xml:space="preserve">Google</t>
    </r>
    <r>
      <rPr>
        <b val="true"/>
        <sz val="11"/>
        <color rgb="FFFFFFFF"/>
        <rFont val="Noto Sans CJK SC"/>
        <family val="2"/>
      </rPr>
      <t xml:space="preserve">検索
回数</t>
    </r>
  </si>
  <si>
    <r>
      <rPr>
        <b val="true"/>
        <sz val="11"/>
        <color rgb="FFFFFFFF"/>
        <rFont val="Arial"/>
        <family val="0"/>
        <charset val="1"/>
      </rPr>
      <t xml:space="preserve">Google</t>
    </r>
    <r>
      <rPr>
        <b val="true"/>
        <sz val="11"/>
        <color rgb="FFFFFFFF"/>
        <rFont val="Noto Sans CJK SC"/>
        <family val="2"/>
      </rPr>
      <t xml:space="preserve">写真
回数</t>
    </r>
  </si>
  <si>
    <t xml:space="preserve">変動原価</t>
  </si>
  <si>
    <t xml:space="preserve">固定費</t>
  </si>
  <si>
    <t xml:space="preserve">原価合計</t>
  </si>
  <si>
    <t xml:space="preserve">営業利益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</si>
  <si>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人あたり
利益</t>
    </r>
  </si>
  <si>
    <r>
      <rPr>
        <sz val="9"/>
        <color rgb="FF666666"/>
        <rFont val="Noto Sans CJK SC"/>
        <family val="2"/>
      </rPr>
      <t xml:space="preserve">読み方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「営業利益」がマイナスなら、その規模では使えば使うほど赤字。</t>
    </r>
    <r>
      <rPr>
        <sz val="9"/>
        <color rgb="FF666666"/>
        <rFont val="Arial"/>
        <family val="0"/>
        <charset val="1"/>
      </rPr>
      <t xml:space="preserve">MAU</t>
    </r>
    <r>
      <rPr>
        <sz val="9"/>
        <color rgb="FF666666"/>
        <rFont val="Noto Sans CJK SC"/>
        <family val="2"/>
      </rPr>
      <t xml:space="preserve">を増やしても改善しないなら構造の問題です。</t>
    </r>
  </si>
  <si>
    <t xml:space="preserve">原価を下げる施策と効果（コードの実態にもとづく）</t>
  </si>
  <si>
    <t xml:space="preserve">削減率は現状のコードから見積もった概算です。実装後に実測で更新してください。</t>
  </si>
  <si>
    <t xml:space="preserve">#</t>
  </si>
  <si>
    <t xml:space="preserve">施策</t>
  </si>
  <si>
    <t xml:space="preserve">現状の問題</t>
  </si>
  <si>
    <t xml:space="preserve">想定削減率</t>
  </si>
  <si>
    <t xml:space="preserve">実装難易度</t>
  </si>
  <si>
    <t xml:space="preserve">写真をキャッシュする</t>
  </si>
  <si>
    <r>
      <rPr>
        <sz val="9"/>
        <color rgb="FF666666"/>
        <rFont val="Arial"/>
        <family val="0"/>
        <charset val="1"/>
      </rPr>
      <t xml:space="preserve">fetchPhoto </t>
    </r>
    <r>
      <rPr>
        <sz val="9"/>
        <color rgb="FF666666"/>
        <rFont val="Noto Sans CJK SC"/>
        <family val="2"/>
      </rPr>
      <t xml:space="preserve">が </t>
    </r>
    <r>
      <rPr>
        <sz val="9"/>
        <color rgb="FF666666"/>
        <rFont val="Arial"/>
        <family val="0"/>
        <charset val="1"/>
      </rPr>
      <t xml:space="preserve">Cache-Control: no-store</t>
    </r>
    <r>
      <rPr>
        <sz val="9"/>
        <color rgb="FF666666"/>
        <rFont val="Noto Sans CJK SC"/>
        <family val="2"/>
      </rPr>
      <t xml:space="preserve">。同じ店の写真を見るたびに課金される</t>
    </r>
  </si>
  <si>
    <t xml:space="preserve">低</t>
  </si>
  <si>
    <r>
      <rPr>
        <sz val="9"/>
        <color rgb="FF666666"/>
        <rFont val="Arial"/>
        <family val="0"/>
        <charset val="1"/>
      </rPr>
      <t xml:space="preserve">CDN or </t>
    </r>
    <r>
      <rPr>
        <sz val="9"/>
        <color rgb="FF666666"/>
        <rFont val="Noto Sans CJK SC"/>
        <family val="2"/>
      </rPr>
      <t xml:space="preserve">サーバー側で</t>
    </r>
    <r>
      <rPr>
        <sz val="9"/>
        <color rgb="FF666666"/>
        <rFont val="Arial"/>
        <family val="0"/>
        <charset val="1"/>
      </rPr>
      <t xml:space="preserve">24</t>
    </r>
    <r>
      <rPr>
        <sz val="9"/>
        <color rgb="FF666666"/>
        <rFont val="Noto Sans CJK SC"/>
        <family val="2"/>
      </rPr>
      <t xml:space="preserve">時間キャッシュするだけ。写真</t>
    </r>
    <r>
      <rPr>
        <sz val="9"/>
        <color rgb="FF666666"/>
        <rFont val="Arial"/>
        <family val="0"/>
        <charset val="1"/>
      </rPr>
      <t xml:space="preserve">cost</t>
    </r>
    <r>
      <rPr>
        <sz val="9"/>
        <color rgb="FF666666"/>
        <rFont val="Noto Sans CJK SC"/>
        <family val="2"/>
      </rPr>
      <t xml:space="preserve">の大半が消える</t>
    </r>
  </si>
  <si>
    <r>
      <rPr>
        <b val="true"/>
        <sz val="11"/>
        <rFont val="Noto Sans CJK SC"/>
        <family val="2"/>
      </rPr>
      <t xml:space="preserve">候補一覧の</t>
    </r>
    <r>
      <rPr>
        <b val="true"/>
        <sz val="11"/>
        <rFont val="Arial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検索をやめる</t>
    </r>
  </si>
  <si>
    <r>
      <rPr>
        <sz val="9"/>
        <color rgb="FF666666"/>
        <rFont val="Noto Sans CJK SC"/>
        <family val="2"/>
      </rPr>
      <t xml:space="preserve">一覧の取得で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Noto Sans CJK SC"/>
        <family val="2"/>
      </rPr>
      <t xml:space="preserve">〜</t>
    </r>
    <r>
      <rPr>
        <sz val="9"/>
        <color rgb="FF666666"/>
        <rFont val="Arial"/>
        <family val="0"/>
        <charset val="1"/>
      </rPr>
      <t xml:space="preserve">5</t>
    </r>
    <r>
      <rPr>
        <sz val="9"/>
        <color rgb="FF666666"/>
        <rFont val="Noto Sans CJK SC"/>
        <family val="2"/>
      </rPr>
      <t xml:space="preserve">キーワードを個別に</t>
    </r>
    <r>
      <rPr>
        <sz val="9"/>
        <color rgb="FF666666"/>
        <rFont val="Arial"/>
        <family val="0"/>
        <charset val="1"/>
      </rPr>
      <t xml:space="preserve">Text Search</t>
    </r>
    <r>
      <rPr>
        <sz val="9"/>
        <color rgb="FF666666"/>
        <rFont val="Noto Sans CJK SC"/>
        <family val="2"/>
      </rPr>
      <t xml:space="preserve">。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回の条件変更で最大</t>
    </r>
    <r>
      <rPr>
        <sz val="9"/>
        <color rgb="FF666666"/>
        <rFont val="Arial"/>
        <family val="0"/>
        <charset val="1"/>
      </rPr>
      <t xml:space="preserve">5</t>
    </r>
    <r>
      <rPr>
        <sz val="9"/>
        <color rgb="FF666666"/>
        <rFont val="Noto Sans CJK SC"/>
        <family val="2"/>
      </rPr>
      <t xml:space="preserve">リクエスト</t>
    </r>
  </si>
  <si>
    <t xml:space="preserve">中</t>
  </si>
  <si>
    <r>
      <rPr>
        <sz val="9"/>
        <color rgb="FF666666"/>
        <rFont val="Arial"/>
        <family val="0"/>
        <charset val="1"/>
      </rPr>
      <t xml:space="preserve">HotPepper</t>
    </r>
    <r>
      <rPr>
        <sz val="9"/>
        <color rgb="FF666666"/>
        <rFont val="Noto Sans CJK SC"/>
        <family val="2"/>
      </rPr>
      <t xml:space="preserve">優先で足りることが検証済み。</t>
    </r>
    <r>
      <rPr>
        <sz val="9"/>
        <color rgb="FF666666"/>
        <rFont val="Arial"/>
        <family val="0"/>
        <charset val="1"/>
      </rPr>
      <t xml:space="preserve">Google</t>
    </r>
    <r>
      <rPr>
        <sz val="9"/>
        <color rgb="FF666666"/>
        <rFont val="Noto Sans CJK SC"/>
        <family val="2"/>
      </rPr>
      <t xml:space="preserve">は件数不足時のみに限定する</t>
    </r>
  </si>
  <si>
    <r>
      <rPr>
        <b val="true"/>
        <sz val="11"/>
        <rFont val="Arial"/>
        <family val="0"/>
        <charset val="1"/>
      </rPr>
      <t xml:space="preserve">nearby</t>
    </r>
    <r>
      <rPr>
        <b val="true"/>
        <sz val="11"/>
        <rFont val="Noto Sans CJK SC"/>
        <family val="2"/>
      </rPr>
      <t xml:space="preserve">のキャッシュを復活させる</t>
    </r>
  </si>
  <si>
    <r>
      <rPr>
        <sz val="9"/>
        <color rgb="FF666666"/>
        <rFont val="Arial"/>
        <family val="0"/>
        <charset val="1"/>
      </rPr>
      <t xml:space="preserve">Google</t>
    </r>
    <r>
      <rPr>
        <sz val="9"/>
        <color rgb="FF666666"/>
        <rFont val="Noto Sans CJK SC"/>
        <family val="2"/>
      </rPr>
      <t xml:space="preserve">有効時に </t>
    </r>
    <r>
      <rPr>
        <sz val="9"/>
        <color rgb="FF666666"/>
        <rFont val="Arial"/>
        <family val="0"/>
        <charset val="1"/>
      </rPr>
      <t xml:space="preserve">findCacheEntry </t>
    </r>
    <r>
      <rPr>
        <sz val="9"/>
        <color rgb="FF666666"/>
        <rFont val="Noto Sans CJK SC"/>
        <family val="2"/>
      </rPr>
      <t xml:space="preserve">を丸ごとスキップしている（キャッシュ無効）</t>
    </r>
  </si>
  <si>
    <r>
      <rPr>
        <sz val="9"/>
        <color rgb="FF666666"/>
        <rFont val="Arial"/>
        <family val="0"/>
        <charset val="1"/>
      </rPr>
      <t xml:space="preserve">NearbyPlacesService </t>
    </r>
    <r>
      <rPr>
        <sz val="9"/>
        <color rgb="FF666666"/>
        <rFont val="Noto Sans CJK SC"/>
        <family val="2"/>
      </rPr>
      <t xml:space="preserve">の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行。同一条件の連打が全部課金されている</t>
    </r>
  </si>
  <si>
    <t xml:space="preserve">条件変更のたびに検索しない</t>
  </si>
  <si>
    <r>
      <rPr>
        <sz val="9"/>
        <color rgb="FF666666"/>
        <rFont val="Arial"/>
        <family val="0"/>
        <charset val="1"/>
      </rPr>
      <t xml:space="preserve">useEffect </t>
    </r>
    <r>
      <rPr>
        <sz val="9"/>
        <color rgb="FF666666"/>
        <rFont val="Noto Sans CJK SC"/>
        <family val="2"/>
      </rPr>
      <t xml:space="preserve">が条件変更ごとに </t>
    </r>
    <r>
      <rPr>
        <sz val="9"/>
        <color rgb="FF666666"/>
        <rFont val="Arial"/>
        <family val="0"/>
        <charset val="1"/>
      </rPr>
      <t xml:space="preserve">loadRestaurants </t>
    </r>
    <r>
      <rPr>
        <sz val="9"/>
        <color rgb="FF666666"/>
        <rFont val="Noto Sans CJK SC"/>
        <family val="2"/>
      </rPr>
      <t xml:space="preserve">を発火。デバウンス無し</t>
    </r>
  </si>
  <si>
    <r>
      <rPr>
        <sz val="9"/>
        <color rgb="FF666666"/>
        <rFont val="Arial"/>
        <family val="0"/>
        <charset val="1"/>
      </rPr>
      <t xml:space="preserve">500ms </t>
    </r>
    <r>
      <rPr>
        <sz val="9"/>
        <color rgb="FF666666"/>
        <rFont val="Noto Sans CJK SC"/>
        <family val="2"/>
      </rPr>
      <t xml:space="preserve">のデバウンス、または「この条件で探す」ボタン方式にする</t>
    </r>
  </si>
  <si>
    <r>
      <rPr>
        <b val="true"/>
        <sz val="11"/>
        <rFont val="Arial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レポートを</t>
    </r>
    <r>
      <rPr>
        <b val="true"/>
        <sz val="11"/>
        <rFont val="Arial"/>
        <family val="0"/>
        <charset val="1"/>
      </rPr>
      <t xml:space="preserve">Flash-Lite</t>
    </r>
    <r>
      <rPr>
        <b val="true"/>
        <sz val="11"/>
        <rFont val="Noto Sans CJK SC"/>
        <family val="2"/>
      </rPr>
      <t xml:space="preserve">にする</t>
    </r>
  </si>
  <si>
    <r>
      <rPr>
        <sz val="9"/>
        <color rgb="FF666666"/>
        <rFont val="Arial"/>
        <family val="0"/>
        <charset val="1"/>
      </rPr>
      <t xml:space="preserve">Flash($2.50/M</t>
    </r>
    <r>
      <rPr>
        <sz val="9"/>
        <color rgb="FF666666"/>
        <rFont val="Noto Sans CJK SC"/>
        <family val="2"/>
      </rPr>
      <t xml:space="preserve">出力</t>
    </r>
    <r>
      <rPr>
        <sz val="9"/>
        <color rgb="FF666666"/>
        <rFont val="Arial"/>
        <family val="0"/>
        <charset val="1"/>
      </rPr>
      <t xml:space="preserve">) → Flash-Lite($0.40/M</t>
    </r>
    <r>
      <rPr>
        <sz val="9"/>
        <color rgb="FF666666"/>
        <rFont val="Noto Sans CJK SC"/>
        <family val="2"/>
      </rPr>
      <t xml:space="preserve">出力</t>
    </r>
    <r>
      <rPr>
        <sz val="9"/>
        <color rgb="FF666666"/>
        <rFont val="Arial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</si>
  <si>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ただし元々ほぼ</t>
    </r>
    <r>
      <rPr>
        <sz val="9"/>
        <color rgb="FF666666"/>
        <rFont val="Arial"/>
        <family val="0"/>
        <charset val="1"/>
      </rPr>
      <t xml:space="preserve">0</t>
    </r>
    <r>
      <rPr>
        <sz val="9"/>
        <color rgb="FF666666"/>
        <rFont val="Noto Sans CJK SC"/>
        <family val="2"/>
      </rPr>
      <t xml:space="preserve">円なので、効果は誤差。品質を優先して</t>
    </r>
    <r>
      <rPr>
        <sz val="9"/>
        <color rgb="FF666666"/>
        <rFont val="Arial"/>
        <family val="0"/>
        <charset val="1"/>
      </rPr>
      <t xml:space="preserve">Flash</t>
    </r>
    <r>
      <rPr>
        <sz val="9"/>
        <color rgb="FF666666"/>
        <rFont val="Noto Sans CJK SC"/>
        <family val="2"/>
      </rPr>
      <t xml:space="preserve">のままで良い</t>
    </r>
  </si>
  <si>
    <r>
      <rPr>
        <b val="true"/>
        <sz val="11"/>
        <rFont val="Noto Sans CJK SC"/>
        <family val="2"/>
      </rPr>
      <t xml:space="preserve">写真は</t>
    </r>
    <r>
      <rPr>
        <b val="true"/>
        <sz val="11"/>
        <rFont val="Arial"/>
        <family val="0"/>
        <charset val="1"/>
      </rPr>
      <t xml:space="preserve">HotPepper</t>
    </r>
    <r>
      <rPr>
        <b val="true"/>
        <sz val="11"/>
        <rFont val="Noto Sans CJK SC"/>
        <family val="2"/>
      </rPr>
      <t xml:space="preserve">優先</t>
    </r>
  </si>
  <si>
    <r>
      <rPr>
        <sz val="9"/>
        <color rgb="FF666666"/>
        <rFont val="Arial"/>
        <family val="0"/>
        <charset val="1"/>
      </rPr>
      <t xml:space="preserve">HotPepper</t>
    </r>
    <r>
      <rPr>
        <sz val="9"/>
        <color rgb="FF666666"/>
        <rFont val="Noto Sans CJK SC"/>
        <family val="2"/>
      </rPr>
      <t xml:space="preserve">は無料で写真つき。</t>
    </r>
    <r>
      <rPr>
        <sz val="9"/>
        <color rgb="FF666666"/>
        <rFont val="Arial"/>
        <family val="0"/>
        <charset val="1"/>
      </rPr>
      <t xml:space="preserve">Google</t>
    </r>
    <r>
      <rPr>
        <sz val="9"/>
        <color rgb="FF666666"/>
        <rFont val="Noto Sans CJK SC"/>
        <family val="2"/>
      </rPr>
      <t xml:space="preserve">の写真を使う場面を減らす</t>
    </r>
  </si>
  <si>
    <t xml:space="preserve">既に統合済みの仕組みを使う。表示順で優先するだけ</t>
  </si>
  <si>
    <r>
      <rPr>
        <b val="true"/>
        <sz val="11"/>
        <rFont val="Noto Sans CJK SC"/>
        <family val="2"/>
      </rPr>
      <t xml:space="preserve">■ 施策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〜</t>
    </r>
    <r>
      <rPr>
        <b val="true"/>
        <sz val="11"/>
        <rFont val="Arial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を実施した場合の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人あたり原価</t>
    </r>
  </si>
  <si>
    <r>
      <rPr>
        <sz val="11"/>
        <rFont val="Noto Sans CJK SC"/>
        <family val="2"/>
      </rPr>
      <t xml:space="preserve">現状の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人あたり原価</t>
    </r>
  </si>
  <si>
    <r>
      <rPr>
        <sz val="11"/>
        <rFont val="Noto Sans CJK SC"/>
        <family val="2"/>
      </rPr>
      <t xml:space="preserve">検索コスト（施策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適用後）</t>
    </r>
  </si>
  <si>
    <r>
      <rPr>
        <sz val="11"/>
        <rFont val="Noto Sans CJK SC"/>
        <family val="2"/>
      </rPr>
      <t xml:space="preserve">写真コスト（施策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適用後）</t>
    </r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</si>
  <si>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レポート</t>
    </r>
  </si>
  <si>
    <r>
      <rPr>
        <b val="true"/>
        <sz val="11"/>
        <rFont val="Noto Sans CJK SC"/>
        <family val="2"/>
      </rPr>
      <t xml:space="preserve">改善後の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人あたり原価</t>
    </r>
  </si>
  <si>
    <t xml:space="preserve">改善後の差引</t>
  </si>
  <si>
    <r>
      <rPr>
        <sz val="9"/>
        <color rgb="FF666666"/>
        <rFont val="Noto Sans CJK SC"/>
        <family val="2"/>
      </rPr>
      <t xml:space="preserve">← プラスになれば、月額</t>
    </r>
    <r>
      <rPr>
        <sz val="9"/>
        <color rgb="FF666666"/>
        <rFont val="Arial"/>
        <family val="0"/>
        <charset val="1"/>
      </rPr>
      <t xml:space="preserve">400</t>
    </r>
    <r>
      <rPr>
        <sz val="9"/>
        <color rgb="FF666666"/>
        <rFont val="Noto Sans CJK SC"/>
        <family val="2"/>
      </rPr>
      <t xml:space="preserve">円で成立する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</si>
</sst>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\(#,##0.0\);\-"/>
    <numFmt numFmtId="166" formatCode="#,##0;\(#,##0\);\-"/>
    <numFmt numFmtId="167" formatCode="\¥#,##0;&quot;(¥&quot;#,##0\);\-"/>
    <numFmt numFmtId="168" formatCode="0.0%"/>
    <numFmt numFmtId="169" formatCode="\$#,##0.0000;&quot;($&quot;#,##0.0000\);\-"/>
    <numFmt numFmtId="170" formatCode="\$#,##0.00;&quot;($&quot;#,##0.00\);\-"/>
    <numFmt numFmtId="171" formatCode="\¥#,##0.00;&quot;(¥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7.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7.15" hidden="false" customHeight="false" outlineLevel="0" collapsed="false">
      <c r="A6" s="4" t="s">
        <v>7</v>
      </c>
      <c r="B6" s="5" t="n">
        <v>157.64</v>
      </c>
      <c r="C6" s="4" t="s">
        <v>8</v>
      </c>
      <c r="D6" s="6" t="s">
        <v>9</v>
      </c>
    </row>
    <row r="8" customFormat="false" ht="17.15" hidden="false" customHeight="false" outlineLevel="0" collapsed="false">
      <c r="A8" s="7" t="s">
        <v>10</v>
      </c>
      <c r="B8" s="8"/>
      <c r="C8" s="8"/>
      <c r="D8" s="9" t="s">
        <v>11</v>
      </c>
    </row>
    <row r="9" customFormat="false" ht="17.15" hidden="false" customHeight="false" outlineLevel="0" collapsed="false">
      <c r="A9" s="4" t="s">
        <v>12</v>
      </c>
      <c r="B9" s="10" t="n">
        <v>8</v>
      </c>
      <c r="C9" s="4" t="s">
        <v>13</v>
      </c>
      <c r="D9" s="2" t="s">
        <v>14</v>
      </c>
    </row>
    <row r="10" customFormat="false" ht="17.15" hidden="false" customHeight="false" outlineLevel="0" collapsed="false">
      <c r="A10" s="11" t="s">
        <v>15</v>
      </c>
      <c r="B10" s="10" t="n">
        <v>3</v>
      </c>
      <c r="C10" s="4" t="s">
        <v>16</v>
      </c>
      <c r="D10" s="2" t="s">
        <v>17</v>
      </c>
    </row>
    <row r="11" customFormat="false" ht="17.15" hidden="false" customHeight="false" outlineLevel="0" collapsed="false">
      <c r="A11" s="11" t="s">
        <v>18</v>
      </c>
      <c r="B11" s="10" t="n">
        <v>2</v>
      </c>
      <c r="C11" s="4" t="s">
        <v>16</v>
      </c>
      <c r="D11" s="2" t="s">
        <v>19</v>
      </c>
    </row>
    <row r="12" customFormat="false" ht="17.15" hidden="false" customHeight="false" outlineLevel="0" collapsed="false">
      <c r="A12" s="11" t="s">
        <v>20</v>
      </c>
      <c r="B12" s="10" t="n">
        <v>12</v>
      </c>
      <c r="C12" s="4" t="s">
        <v>21</v>
      </c>
      <c r="D12" s="2" t="s">
        <v>22</v>
      </c>
    </row>
    <row r="13" customFormat="false" ht="17.15" hidden="false" customHeight="false" outlineLevel="0" collapsed="false">
      <c r="A13" s="11" t="s">
        <v>23</v>
      </c>
      <c r="B13" s="10" t="n">
        <v>1</v>
      </c>
      <c r="C13" s="4" t="s">
        <v>13</v>
      </c>
      <c r="D13" s="2" t="s">
        <v>24</v>
      </c>
    </row>
    <row r="15" customFormat="false" ht="17.15" hidden="false" customHeight="false" outlineLevel="0" collapsed="false">
      <c r="A15" s="12" t="s">
        <v>25</v>
      </c>
      <c r="B15" s="8"/>
      <c r="C15" s="8"/>
      <c r="D15" s="9"/>
    </row>
    <row r="16" customFormat="false" ht="17.15" hidden="false" customHeight="false" outlineLevel="0" collapsed="false">
      <c r="A16" s="4" t="s">
        <v>26</v>
      </c>
      <c r="B16" s="10" t="n">
        <v>4</v>
      </c>
      <c r="C16" s="4" t="s">
        <v>16</v>
      </c>
      <c r="D16" s="6" t="s">
        <v>27</v>
      </c>
    </row>
    <row r="17" customFormat="false" ht="17.15" hidden="false" customHeight="false" outlineLevel="0" collapsed="false">
      <c r="A17" s="4" t="s">
        <v>28</v>
      </c>
      <c r="B17" s="10" t="n">
        <v>1</v>
      </c>
      <c r="C17" s="4" t="s">
        <v>16</v>
      </c>
      <c r="D17" s="6" t="s">
        <v>29</v>
      </c>
    </row>
    <row r="18" customFormat="false" ht="17.15" hidden="false" customHeight="false" outlineLevel="0" collapsed="false">
      <c r="A18" s="4" t="s">
        <v>30</v>
      </c>
      <c r="B18" s="10" t="n">
        <v>1</v>
      </c>
      <c r="C18" s="4" t="s">
        <v>16</v>
      </c>
      <c r="D18" s="6" t="s">
        <v>31</v>
      </c>
    </row>
    <row r="20" customFormat="false" ht="17.15" hidden="false" customHeight="false" outlineLevel="0" collapsed="false">
      <c r="A20" s="12" t="s">
        <v>32</v>
      </c>
      <c r="B20" s="8"/>
      <c r="C20" s="8"/>
      <c r="D20" s="9"/>
    </row>
    <row r="21" customFormat="false" ht="15" hidden="false" customHeight="false" outlineLevel="0" collapsed="false">
      <c r="A21" s="4" t="s">
        <v>33</v>
      </c>
      <c r="B21" s="10" t="n">
        <v>1500</v>
      </c>
      <c r="C21" s="11" t="s">
        <v>34</v>
      </c>
      <c r="D21" s="2" t="s">
        <v>35</v>
      </c>
    </row>
    <row r="22" customFormat="false" ht="15" hidden="false" customHeight="false" outlineLevel="0" collapsed="false">
      <c r="A22" s="4" t="s">
        <v>36</v>
      </c>
      <c r="B22" s="10" t="n">
        <v>800</v>
      </c>
      <c r="C22" s="11" t="s">
        <v>34</v>
      </c>
      <c r="D22" s="2" t="s">
        <v>37</v>
      </c>
    </row>
    <row r="25" customFormat="false" ht="15" hidden="false" customHeight="false" outlineLevel="0" collapsed="false">
      <c r="A25" s="7" t="s">
        <v>38</v>
      </c>
      <c r="B25" s="8"/>
      <c r="C25" s="8"/>
      <c r="D25" s="8"/>
    </row>
    <row r="26" customFormat="false" ht="17.15" hidden="false" customHeight="false" outlineLevel="0" collapsed="false">
      <c r="A26" s="4" t="s">
        <v>39</v>
      </c>
      <c r="B26" s="13" t="n">
        <v>400</v>
      </c>
      <c r="C26" s="4" t="s">
        <v>40</v>
      </c>
      <c r="D26" s="2" t="s">
        <v>41</v>
      </c>
    </row>
    <row r="27" customFormat="false" ht="15" hidden="false" customHeight="false" outlineLevel="0" collapsed="false">
      <c r="A27" s="4" t="s">
        <v>42</v>
      </c>
      <c r="B27" s="14" t="n">
        <v>0.03</v>
      </c>
      <c r="C27" s="11" t="s">
        <v>43</v>
      </c>
      <c r="D27" s="2" t="s">
        <v>44</v>
      </c>
    </row>
    <row r="28" customFormat="false" ht="15" hidden="false" customHeight="false" outlineLevel="0" collapsed="false">
      <c r="A28" s="4" t="s">
        <v>45</v>
      </c>
      <c r="B28" s="14" t="n">
        <v>0.3</v>
      </c>
      <c r="C28" s="11" t="s">
        <v>43</v>
      </c>
      <c r="D28" s="6" t="s">
        <v>46</v>
      </c>
    </row>
    <row r="29" customFormat="false" ht="17.15" hidden="false" customHeight="false" outlineLevel="0" collapsed="false">
      <c r="A29" s="4" t="s">
        <v>47</v>
      </c>
      <c r="B29" s="13" t="n">
        <v>15</v>
      </c>
      <c r="C29" s="4" t="s">
        <v>40</v>
      </c>
      <c r="D29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58"/>
  </cols>
  <sheetData>
    <row r="1" customFormat="false" ht="21.6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7.15" hidden="false" customHeight="false" outlineLevel="0" collapsed="false">
      <c r="A4" s="3" t="s">
        <v>51</v>
      </c>
      <c r="B4" s="15" t="s">
        <v>52</v>
      </c>
      <c r="C4" s="3" t="s">
        <v>53</v>
      </c>
      <c r="D4" s="3" t="s">
        <v>54</v>
      </c>
      <c r="E4" s="3" t="s">
        <v>5</v>
      </c>
      <c r="F4" s="3" t="s">
        <v>55</v>
      </c>
    </row>
    <row r="5" customFormat="false" ht="17.15" hidden="false" customHeight="false" outlineLevel="0" collapsed="false">
      <c r="A5" s="16" t="s">
        <v>56</v>
      </c>
      <c r="B5" s="16" t="s">
        <v>57</v>
      </c>
      <c r="C5" s="17" t="n">
        <v>5000</v>
      </c>
      <c r="D5" s="18" t="n">
        <v>32</v>
      </c>
      <c r="E5" s="16" t="s">
        <v>58</v>
      </c>
      <c r="F5" s="19" t="s">
        <v>59</v>
      </c>
    </row>
    <row r="6" customFormat="false" ht="17.15" hidden="false" customHeight="false" outlineLevel="0" collapsed="false">
      <c r="A6" s="16" t="s">
        <v>56</v>
      </c>
      <c r="B6" s="16" t="s">
        <v>60</v>
      </c>
      <c r="C6" s="17" t="n">
        <v>1000</v>
      </c>
      <c r="D6" s="18" t="n">
        <v>7</v>
      </c>
      <c r="E6" s="16" t="s">
        <v>58</v>
      </c>
      <c r="F6" s="19" t="s">
        <v>61</v>
      </c>
    </row>
    <row r="7" customFormat="false" ht="15" hidden="false" customHeight="false" outlineLevel="0" collapsed="false">
      <c r="A7" s="16" t="s">
        <v>62</v>
      </c>
      <c r="B7" s="16" t="s">
        <v>63</v>
      </c>
      <c r="C7" s="17" t="s">
        <v>64</v>
      </c>
      <c r="D7" s="18" t="n">
        <v>0</v>
      </c>
      <c r="E7" s="16" t="s">
        <v>65</v>
      </c>
      <c r="F7" s="19" t="s">
        <v>66</v>
      </c>
    </row>
    <row r="8" customFormat="false" ht="15" hidden="false" customHeight="false" outlineLevel="0" collapsed="false">
      <c r="A8" s="16" t="s">
        <v>62</v>
      </c>
      <c r="B8" s="16" t="s">
        <v>67</v>
      </c>
      <c r="C8" s="17" t="s">
        <v>64</v>
      </c>
      <c r="D8" s="18" t="n">
        <v>0</v>
      </c>
      <c r="E8" s="16" t="s">
        <v>65</v>
      </c>
      <c r="F8" s="20" t="s">
        <v>68</v>
      </c>
    </row>
    <row r="9" customFormat="false" ht="17.15" hidden="false" customHeight="false" outlineLevel="0" collapsed="false">
      <c r="A9" s="16" t="s">
        <v>69</v>
      </c>
      <c r="B9" s="16" t="s">
        <v>70</v>
      </c>
      <c r="C9" s="17" t="s">
        <v>64</v>
      </c>
      <c r="D9" s="18" t="n">
        <v>0.3</v>
      </c>
      <c r="E9" s="16" t="s">
        <v>71</v>
      </c>
      <c r="F9" s="20" t="s">
        <v>72</v>
      </c>
    </row>
    <row r="10" customFormat="false" ht="17.15" hidden="false" customHeight="false" outlineLevel="0" collapsed="false">
      <c r="A10" s="16" t="s">
        <v>69</v>
      </c>
      <c r="B10" s="16" t="s">
        <v>73</v>
      </c>
      <c r="C10" s="17" t="s">
        <v>64</v>
      </c>
      <c r="D10" s="18" t="n">
        <v>2.5</v>
      </c>
      <c r="E10" s="16" t="s">
        <v>71</v>
      </c>
      <c r="F10" s="19" t="s">
        <v>74</v>
      </c>
    </row>
    <row r="11" customFormat="false" ht="17.15" hidden="false" customHeight="false" outlineLevel="0" collapsed="false">
      <c r="A11" s="16" t="s">
        <v>69</v>
      </c>
      <c r="B11" s="16" t="s">
        <v>75</v>
      </c>
      <c r="C11" s="17" t="s">
        <v>64</v>
      </c>
      <c r="D11" s="18" t="n">
        <v>0.1</v>
      </c>
      <c r="E11" s="16" t="s">
        <v>71</v>
      </c>
      <c r="F11" s="19" t="s">
        <v>76</v>
      </c>
    </row>
    <row r="12" customFormat="false" ht="17.15" hidden="false" customHeight="false" outlineLevel="0" collapsed="false">
      <c r="A12" s="16" t="s">
        <v>69</v>
      </c>
      <c r="B12" s="16" t="s">
        <v>77</v>
      </c>
      <c r="C12" s="17" t="s">
        <v>64</v>
      </c>
      <c r="D12" s="18" t="n">
        <v>0.4</v>
      </c>
      <c r="E12" s="16" t="s">
        <v>71</v>
      </c>
      <c r="F12" s="19" t="s">
        <v>78</v>
      </c>
    </row>
    <row r="13" customFormat="false" ht="17.15" hidden="false" customHeight="false" outlineLevel="0" collapsed="false">
      <c r="A13" s="16" t="s">
        <v>79</v>
      </c>
      <c r="B13" s="21" t="s">
        <v>80</v>
      </c>
      <c r="C13" s="17" t="s">
        <v>64</v>
      </c>
      <c r="D13" s="18" t="n">
        <v>0</v>
      </c>
      <c r="E13" s="21" t="s">
        <v>81</v>
      </c>
      <c r="F13" s="19" t="s">
        <v>82</v>
      </c>
    </row>
    <row r="14" customFormat="false" ht="15" hidden="false" customHeight="false" outlineLevel="0" collapsed="false">
      <c r="A14" s="16" t="s">
        <v>83</v>
      </c>
      <c r="B14" s="16" t="s">
        <v>84</v>
      </c>
      <c r="C14" s="17" t="s">
        <v>64</v>
      </c>
      <c r="D14" s="18" t="n">
        <v>0</v>
      </c>
      <c r="E14" s="21" t="s">
        <v>81</v>
      </c>
      <c r="F14" s="19" t="s">
        <v>85</v>
      </c>
    </row>
    <row r="17" customFormat="false" ht="15" hidden="false" customHeight="false" outlineLevel="0" collapsed="false">
      <c r="A17" s="7" t="s">
        <v>86</v>
      </c>
    </row>
    <row r="18" customFormat="false" ht="17.15" hidden="false" customHeight="false" outlineLevel="0" collapsed="false">
      <c r="A18" s="3" t="s">
        <v>51</v>
      </c>
      <c r="B18" s="3" t="s">
        <v>87</v>
      </c>
      <c r="C18" s="3" t="s">
        <v>88</v>
      </c>
      <c r="D18" s="3" t="s">
        <v>89</v>
      </c>
      <c r="E18" s="3"/>
      <c r="F18" s="3" t="s">
        <v>55</v>
      </c>
    </row>
    <row r="19" customFormat="false" ht="15" hidden="false" customHeight="false" outlineLevel="0" collapsed="false">
      <c r="A19" s="11" t="s">
        <v>90</v>
      </c>
      <c r="B19" s="11" t="s">
        <v>91</v>
      </c>
      <c r="C19" s="22" t="n">
        <v>7</v>
      </c>
      <c r="D19" s="23" t="n">
        <f aca="false">C19*前提条件!$B$6</f>
        <v>1103.48</v>
      </c>
      <c r="F19" s="2" t="s">
        <v>92</v>
      </c>
    </row>
    <row r="20" customFormat="false" ht="15" hidden="false" customHeight="false" outlineLevel="0" collapsed="false">
      <c r="A20" s="11" t="s">
        <v>93</v>
      </c>
      <c r="B20" s="11" t="s">
        <v>94</v>
      </c>
      <c r="C20" s="22" t="n">
        <v>0</v>
      </c>
      <c r="D20" s="23" t="n">
        <f aca="false">C20*前提条件!$B$6</f>
        <v>0</v>
      </c>
      <c r="F20" s="2" t="s">
        <v>95</v>
      </c>
    </row>
    <row r="21" customFormat="false" ht="15" hidden="false" customHeight="false" outlineLevel="0" collapsed="false">
      <c r="A21" s="11" t="s">
        <v>96</v>
      </c>
      <c r="B21" s="11" t="s">
        <v>97</v>
      </c>
      <c r="C21" s="22" t="n">
        <v>0</v>
      </c>
      <c r="D21" s="23" t="n">
        <f aca="false">C21*前提条件!$B$6</f>
        <v>0</v>
      </c>
      <c r="F21" s="2" t="s">
        <v>98</v>
      </c>
    </row>
    <row r="22" customFormat="false" ht="15" hidden="false" customHeight="false" outlineLevel="0" collapsed="false">
      <c r="A22" s="11" t="s">
        <v>99</v>
      </c>
      <c r="B22" s="11" t="s">
        <v>94</v>
      </c>
      <c r="C22" s="22" t="n">
        <v>0</v>
      </c>
      <c r="D22" s="23" t="n">
        <f aca="false">C22*前提条件!$B$6</f>
        <v>0</v>
      </c>
      <c r="F22" s="2" t="s">
        <v>100</v>
      </c>
    </row>
    <row r="23" customFormat="false" ht="15" hidden="false" customHeight="false" outlineLevel="0" collapsed="false">
      <c r="A23" s="24" t="s">
        <v>101</v>
      </c>
      <c r="C23" s="25" t="n">
        <f aca="false">SUM(C19:C22)</f>
        <v>7</v>
      </c>
      <c r="D23" s="26" t="n">
        <f aca="false">SUM(D19:D22)</f>
        <v>1103.48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" min="4" style="0" width="14"/>
  </cols>
  <sheetData>
    <row r="1" customFormat="false" ht="21.6" hidden="false" customHeight="false" outlineLevel="0" collapsed="false">
      <c r="A1" s="27" t="s">
        <v>102</v>
      </c>
    </row>
    <row r="2" customFormat="false" ht="15" hidden="false" customHeight="false" outlineLevel="0" collapsed="false">
      <c r="A2" s="2" t="s">
        <v>103</v>
      </c>
    </row>
    <row r="4" customFormat="false" ht="17.15" hidden="false" customHeight="false" outlineLevel="0" collapsed="false">
      <c r="A4" s="3" t="s">
        <v>3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</row>
    <row r="5" customFormat="false" ht="17.15" hidden="false" customHeight="false" outlineLevel="0" collapsed="false">
      <c r="A5" s="16" t="s">
        <v>109</v>
      </c>
      <c r="B5" s="19" t="s">
        <v>110</v>
      </c>
      <c r="C5" s="28" t="n">
        <f aca="false">前提条件!B9*前提条件!B10*前提条件!B16</f>
        <v>96</v>
      </c>
      <c r="D5" s="29" t="n">
        <f aca="false">API単価!D5/1000</f>
        <v>0.032</v>
      </c>
      <c r="E5" s="29" t="n">
        <f aca="false">C5*D5</f>
        <v>3.072</v>
      </c>
      <c r="F5" s="30" t="n">
        <f aca="false">E5*前提条件!$B$6</f>
        <v>484.27008</v>
      </c>
    </row>
    <row r="6" customFormat="false" ht="17.15" hidden="false" customHeight="false" outlineLevel="0" collapsed="false">
      <c r="A6" s="16" t="s">
        <v>111</v>
      </c>
      <c r="B6" s="19" t="s">
        <v>112</v>
      </c>
      <c r="C6" s="28" t="n">
        <f aca="false">前提条件!B9*前提条件!B11*前提条件!B17</f>
        <v>16</v>
      </c>
      <c r="D6" s="29" t="n">
        <f aca="false">API単価!D5/1000</f>
        <v>0.032</v>
      </c>
      <c r="E6" s="29" t="n">
        <f aca="false">C6*D6</f>
        <v>0.512</v>
      </c>
      <c r="F6" s="30" t="n">
        <f aca="false">E6*前提条件!$B$6</f>
        <v>80.71168</v>
      </c>
    </row>
    <row r="7" customFormat="false" ht="17.15" hidden="false" customHeight="false" outlineLevel="0" collapsed="false">
      <c r="A7" s="16" t="s">
        <v>113</v>
      </c>
      <c r="B7" s="19" t="s">
        <v>114</v>
      </c>
      <c r="C7" s="28" t="n">
        <f aca="false">前提条件!B9*前提条件!B12*前提条件!B18</f>
        <v>96</v>
      </c>
      <c r="D7" s="29" t="n">
        <f aca="false">API単価!D6/1000</f>
        <v>0.007</v>
      </c>
      <c r="E7" s="29" t="n">
        <f aca="false">C7*D7</f>
        <v>0.672</v>
      </c>
      <c r="F7" s="30" t="n">
        <f aca="false">E7*前提条件!$B$6</f>
        <v>105.93408</v>
      </c>
    </row>
    <row r="8" customFormat="false" ht="17.15" hidden="false" customHeight="false" outlineLevel="0" collapsed="false">
      <c r="A8" s="16" t="s">
        <v>115</v>
      </c>
      <c r="B8" s="20" t="s">
        <v>116</v>
      </c>
      <c r="C8" s="28" t="n">
        <f aca="false">前提条件!B13</f>
        <v>1</v>
      </c>
      <c r="D8" s="29" t="n">
        <f aca="false">(前提条件!B21*API単価!D9+前提条件!B22*API単価!D10)/1000000</f>
        <v>0.00245</v>
      </c>
      <c r="E8" s="29" t="n">
        <f aca="false">C8*D8</f>
        <v>0.00245</v>
      </c>
      <c r="F8" s="30" t="n">
        <f aca="false">E8*前提条件!$B$6</f>
        <v>0.386218</v>
      </c>
    </row>
    <row r="9" customFormat="false" ht="15" hidden="false" customHeight="false" outlineLevel="0" collapsed="false">
      <c r="A9" s="31"/>
      <c r="B9" s="31"/>
      <c r="C9" s="31"/>
      <c r="D9" s="31"/>
      <c r="E9" s="31"/>
      <c r="F9" s="31"/>
    </row>
    <row r="10" customFormat="false" ht="17.15" hidden="false" customHeight="false" outlineLevel="0" collapsed="false">
      <c r="A10" s="32" t="s">
        <v>117</v>
      </c>
      <c r="B10" s="31"/>
      <c r="C10" s="31"/>
      <c r="D10" s="31"/>
      <c r="E10" s="33" t="n">
        <f aca="false">SUM(E5:E8)</f>
        <v>4.25845</v>
      </c>
      <c r="F10" s="34" t="n">
        <f aca="false">SUM(F5:F8)</f>
        <v>671.302058</v>
      </c>
    </row>
    <row r="12" customFormat="false" ht="15" hidden="false" customHeight="false" outlineLevel="0" collapsed="false">
      <c r="A12" s="7" t="s">
        <v>118</v>
      </c>
    </row>
    <row r="14" customFormat="false" ht="17.15" hidden="false" customHeight="false" outlineLevel="0" collapsed="false">
      <c r="A14" s="4" t="s">
        <v>119</v>
      </c>
      <c r="B14" s="35" t="n">
        <f aca="false">前提条件!B26*(1-前提条件!B28)</f>
        <v>280</v>
      </c>
    </row>
    <row r="15" customFormat="false" ht="17.15" hidden="false" customHeight="false" outlineLevel="0" collapsed="false">
      <c r="A15" s="11" t="s">
        <v>120</v>
      </c>
      <c r="B15" s="35" t="n">
        <f aca="false">F10</f>
        <v>671.302058</v>
      </c>
    </row>
    <row r="16" customFormat="false" ht="17.15" hidden="false" customHeight="false" outlineLevel="0" collapsed="false">
      <c r="A16" s="24" t="s">
        <v>121</v>
      </c>
      <c r="B16" s="34" t="n">
        <f aca="false">B14-B15</f>
        <v>-391.302058</v>
      </c>
      <c r="D16" s="2" t="s">
        <v>122</v>
      </c>
    </row>
    <row r="17" customFormat="false" ht="15" hidden="false" customHeight="false" outlineLevel="0" collapsed="false">
      <c r="A17" s="4" t="s">
        <v>123</v>
      </c>
      <c r="B17" s="36" t="n">
        <f aca="false">F10/(1-前提条件!B28)</f>
        <v>959.00294</v>
      </c>
      <c r="D17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8" min="4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27" t="s">
        <v>125</v>
      </c>
    </row>
    <row r="2" customFormat="false" ht="15" hidden="false" customHeight="false" outlineLevel="0" collapsed="false">
      <c r="A2" s="6" t="s">
        <v>126</v>
      </c>
    </row>
    <row r="4" customFormat="false" ht="33.75" hidden="false" customHeight="true" outlineLevel="0" collapsed="false">
      <c r="A4" s="15" t="s">
        <v>127</v>
      </c>
      <c r="B4" s="3" t="s">
        <v>128</v>
      </c>
      <c r="C4" s="3" t="s">
        <v>129</v>
      </c>
      <c r="D4" s="3" t="s">
        <v>130</v>
      </c>
      <c r="E4" s="3" t="s">
        <v>131</v>
      </c>
      <c r="F4" s="15" t="s">
        <v>132</v>
      </c>
      <c r="G4" s="15" t="s">
        <v>133</v>
      </c>
      <c r="H4" s="3" t="s">
        <v>134</v>
      </c>
      <c r="I4" s="3" t="s">
        <v>135</v>
      </c>
      <c r="J4" s="3" t="s">
        <v>136</v>
      </c>
      <c r="K4" s="3" t="s">
        <v>137</v>
      </c>
      <c r="L4" s="15" t="s">
        <v>138</v>
      </c>
    </row>
    <row r="5" customFormat="false" ht="15" hidden="false" customHeight="false" outlineLevel="0" collapsed="false">
      <c r="A5" s="10" t="n">
        <v>100</v>
      </c>
      <c r="B5" s="28" t="n">
        <f aca="false">A5*前提条件!$B$27</f>
        <v>3</v>
      </c>
      <c r="C5" s="37" t="n">
        <f aca="false">B5*前提条件!$B$26*(1-前提条件!$B$28)</f>
        <v>840</v>
      </c>
      <c r="D5" s="37" t="n">
        <f aca="false">(A5-B5)*前提条件!$B$29</f>
        <v>1455</v>
      </c>
      <c r="E5" s="37" t="n">
        <f aca="false">C5+D5</f>
        <v>2295</v>
      </c>
      <c r="F5" s="28" t="n">
        <f aca="false">A5*('1人あたり原価'!$C$5+'1人あたり原価'!$C$6)</f>
        <v>11200</v>
      </c>
      <c r="G5" s="28" t="n">
        <f aca="false">A5*'1人あたり原価'!$C$7</f>
        <v>9600</v>
      </c>
      <c r="H5" s="37" t="n">
        <f aca="false">(MAX(0,F5-API単価!$C$5)*API単価!$D$5/1000+MAX(0,G5-API単価!$C$6)*API単価!$D$6/1000+A5*'1人あたり原価'!$E$8)*前提条件!$B$6</f>
        <v>40804.3258</v>
      </c>
      <c r="I5" s="37" t="n">
        <f aca="false">API単価!$D$23</f>
        <v>1103.48</v>
      </c>
      <c r="J5" s="37" t="n">
        <f aca="false">H5+I5</f>
        <v>41907.8058</v>
      </c>
      <c r="K5" s="26" t="n">
        <f aca="false">E5-J5</f>
        <v>-39612.8058</v>
      </c>
      <c r="L5" s="30" t="n">
        <f aca="false">IF(A5=0,0,K5/A5)</f>
        <v>-396.128058</v>
      </c>
    </row>
    <row r="6" customFormat="false" ht="15" hidden="false" customHeight="false" outlineLevel="0" collapsed="false">
      <c r="A6" s="10" t="n">
        <v>500</v>
      </c>
      <c r="B6" s="28" t="n">
        <f aca="false">A6*前提条件!$B$27</f>
        <v>15</v>
      </c>
      <c r="C6" s="37" t="n">
        <f aca="false">B6*前提条件!$B$26*(1-前提条件!$B$28)</f>
        <v>4200</v>
      </c>
      <c r="D6" s="37" t="n">
        <f aca="false">(A6-B6)*前提条件!$B$29</f>
        <v>7275</v>
      </c>
      <c r="E6" s="37" t="n">
        <f aca="false">C6+D6</f>
        <v>11475</v>
      </c>
      <c r="F6" s="28" t="n">
        <f aca="false">A6*('1人あたり原価'!$C$5+'1人あたり原価'!$C$6)</f>
        <v>56000</v>
      </c>
      <c r="G6" s="28" t="n">
        <f aca="false">A6*'1人あたり原価'!$C$7</f>
        <v>48000</v>
      </c>
      <c r="H6" s="37" t="n">
        <f aca="false">(MAX(0,F6-API単価!$C$5)*API単価!$D$5/1000+MAX(0,G6-API単価!$C$6)*API単価!$D$6/1000+A6*'1人あたり原価'!$E$8)*前提条件!$B$6</f>
        <v>309325.149</v>
      </c>
      <c r="I6" s="37" t="n">
        <f aca="false">API単価!$D$23</f>
        <v>1103.48</v>
      </c>
      <c r="J6" s="37" t="n">
        <f aca="false">H6+I6</f>
        <v>310428.629</v>
      </c>
      <c r="K6" s="26" t="n">
        <f aca="false">E6-J6</f>
        <v>-298953.629</v>
      </c>
      <c r="L6" s="30" t="n">
        <f aca="false">IF(A6=0,0,K6/A6)</f>
        <v>-597.907258</v>
      </c>
    </row>
    <row r="7" customFormat="false" ht="15" hidden="false" customHeight="false" outlineLevel="0" collapsed="false">
      <c r="A7" s="10" t="n">
        <v>1000</v>
      </c>
      <c r="B7" s="28" t="n">
        <f aca="false">A7*前提条件!$B$27</f>
        <v>30</v>
      </c>
      <c r="C7" s="37" t="n">
        <f aca="false">B7*前提条件!$B$26*(1-前提条件!$B$28)</f>
        <v>8400</v>
      </c>
      <c r="D7" s="37" t="n">
        <f aca="false">(A7-B7)*前提条件!$B$29</f>
        <v>14550</v>
      </c>
      <c r="E7" s="37" t="n">
        <f aca="false">C7+D7</f>
        <v>22950</v>
      </c>
      <c r="F7" s="28" t="n">
        <f aca="false">A7*('1人あたり原価'!$C$5+'1人あたり原価'!$C$6)</f>
        <v>112000</v>
      </c>
      <c r="G7" s="28" t="n">
        <f aca="false">A7*'1人あたり原価'!$C$7</f>
        <v>96000</v>
      </c>
      <c r="H7" s="37" t="n">
        <f aca="false">(MAX(0,F7-API単価!$C$5)*API単価!$D$5/1000+MAX(0,G7-API単価!$C$6)*API単価!$D$6/1000+A7*'1人あたり原価'!$E$8)*前提条件!$B$6</f>
        <v>644976.178</v>
      </c>
      <c r="I7" s="37" t="n">
        <f aca="false">API単価!$D$23</f>
        <v>1103.48</v>
      </c>
      <c r="J7" s="37" t="n">
        <f aca="false">H7+I7</f>
        <v>646079.658</v>
      </c>
      <c r="K7" s="26" t="n">
        <f aca="false">E7-J7</f>
        <v>-623129.658</v>
      </c>
      <c r="L7" s="30" t="n">
        <f aca="false">IF(A7=0,0,K7/A7)</f>
        <v>-623.129658</v>
      </c>
    </row>
    <row r="8" customFormat="false" ht="15" hidden="false" customHeight="false" outlineLevel="0" collapsed="false">
      <c r="A8" s="10" t="n">
        <v>5000</v>
      </c>
      <c r="B8" s="28" t="n">
        <f aca="false">A8*前提条件!$B$27</f>
        <v>150</v>
      </c>
      <c r="C8" s="37" t="n">
        <f aca="false">B8*前提条件!$B$26*(1-前提条件!$B$28)</f>
        <v>42000</v>
      </c>
      <c r="D8" s="37" t="n">
        <f aca="false">(A8-B8)*前提条件!$B$29</f>
        <v>72750</v>
      </c>
      <c r="E8" s="37" t="n">
        <f aca="false">C8+D8</f>
        <v>114750</v>
      </c>
      <c r="F8" s="28" t="n">
        <f aca="false">A8*('1人あたり原価'!$C$5+'1人あたり原価'!$C$6)</f>
        <v>560000</v>
      </c>
      <c r="G8" s="28" t="n">
        <f aca="false">A8*'1人あたり原価'!$C$7</f>
        <v>480000</v>
      </c>
      <c r="H8" s="37" t="n">
        <f aca="false">(MAX(0,F8-API単価!$C$5)*API単価!$D$5/1000+MAX(0,G8-API単価!$C$6)*API単価!$D$6/1000+A8*'1人あたり原価'!$E$8)*前提条件!$B$6</f>
        <v>3330184.41</v>
      </c>
      <c r="I8" s="37" t="n">
        <f aca="false">API単価!$D$23</f>
        <v>1103.48</v>
      </c>
      <c r="J8" s="37" t="n">
        <f aca="false">H8+I8</f>
        <v>3331287.89</v>
      </c>
      <c r="K8" s="26" t="n">
        <f aca="false">E8-J8</f>
        <v>-3216537.89</v>
      </c>
      <c r="L8" s="30" t="n">
        <f aca="false">IF(A8=0,0,K8/A8)</f>
        <v>-643.307578</v>
      </c>
    </row>
    <row r="9" customFormat="false" ht="15" hidden="false" customHeight="false" outlineLevel="0" collapsed="false">
      <c r="A9" s="10" t="n">
        <v>10000</v>
      </c>
      <c r="B9" s="28" t="n">
        <f aca="false">A9*前提条件!$B$27</f>
        <v>300</v>
      </c>
      <c r="C9" s="37" t="n">
        <f aca="false">B9*前提条件!$B$26*(1-前提条件!$B$28)</f>
        <v>84000</v>
      </c>
      <c r="D9" s="37" t="n">
        <f aca="false">(A9-B9)*前提条件!$B$29</f>
        <v>145500</v>
      </c>
      <c r="E9" s="37" t="n">
        <f aca="false">C9+D9</f>
        <v>229500</v>
      </c>
      <c r="F9" s="28" t="n">
        <f aca="false">A9*('1人あたり原価'!$C$5+'1人あたり原価'!$C$6)</f>
        <v>1120000</v>
      </c>
      <c r="G9" s="28" t="n">
        <f aca="false">A9*'1人あたり原価'!$C$7</f>
        <v>960000</v>
      </c>
      <c r="H9" s="37" t="n">
        <f aca="false">(MAX(0,F9-API単価!$C$5)*API単価!$D$5/1000+MAX(0,G9-API単価!$C$6)*API単価!$D$6/1000+A9*'1人あたり原価'!$E$8)*前提条件!$B$6</f>
        <v>6686694.7</v>
      </c>
      <c r="I9" s="37" t="n">
        <f aca="false">API単価!$D$23</f>
        <v>1103.48</v>
      </c>
      <c r="J9" s="37" t="n">
        <f aca="false">H9+I9</f>
        <v>6687798.18</v>
      </c>
      <c r="K9" s="26" t="n">
        <f aca="false">E9-J9</f>
        <v>-6458298.18</v>
      </c>
      <c r="L9" s="30" t="n">
        <f aca="false">IF(A9=0,0,K9/A9)</f>
        <v>-645.829818</v>
      </c>
    </row>
    <row r="10" customFormat="false" ht="15" hidden="false" customHeight="false" outlineLevel="0" collapsed="false">
      <c r="A10" s="10" t="n">
        <v>50000</v>
      </c>
      <c r="B10" s="28" t="n">
        <f aca="false">A10*前提条件!$B$27</f>
        <v>1500</v>
      </c>
      <c r="C10" s="37" t="n">
        <f aca="false">B10*前提条件!$B$26*(1-前提条件!$B$28)</f>
        <v>420000</v>
      </c>
      <c r="D10" s="37" t="n">
        <f aca="false">(A10-B10)*前提条件!$B$29</f>
        <v>727500</v>
      </c>
      <c r="E10" s="37" t="n">
        <f aca="false">C10+D10</f>
        <v>1147500</v>
      </c>
      <c r="F10" s="28" t="n">
        <f aca="false">A10*('1人あたり原価'!$C$5+'1人あたり原価'!$C$6)</f>
        <v>5600000</v>
      </c>
      <c r="G10" s="28" t="n">
        <f aca="false">A10*'1人あたり原価'!$C$7</f>
        <v>4800000</v>
      </c>
      <c r="H10" s="37" t="n">
        <f aca="false">(MAX(0,F10-API単価!$C$5)*API単価!$D$5/1000+MAX(0,G10-API単価!$C$6)*API単価!$D$6/1000+A10*'1人あたり原価'!$E$8)*前提条件!$B$6</f>
        <v>33538777.02</v>
      </c>
      <c r="I10" s="37" t="n">
        <f aca="false">API単価!$D$23</f>
        <v>1103.48</v>
      </c>
      <c r="J10" s="37" t="n">
        <f aca="false">H10+I10</f>
        <v>33539880.5</v>
      </c>
      <c r="K10" s="26" t="n">
        <f aca="false">E10-J10</f>
        <v>-32392380.5</v>
      </c>
      <c r="L10" s="30" t="n">
        <f aca="false">IF(A10=0,0,K10/A10)</f>
        <v>-647.84761</v>
      </c>
    </row>
    <row r="13" customFormat="false" ht="15" hidden="false" customHeight="false" outlineLevel="0" collapsed="false">
      <c r="A13" s="2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5" min="4" style="0" width="12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27" t="s">
        <v>140</v>
      </c>
    </row>
    <row r="2" customFormat="false" ht="15" hidden="false" customHeight="false" outlineLevel="0" collapsed="false">
      <c r="A2" s="2" t="s">
        <v>141</v>
      </c>
    </row>
    <row r="4" customFormat="false" ht="17.15" hidden="false" customHeight="false" outlineLevel="0" collapsed="false">
      <c r="A4" s="15" t="s">
        <v>142</v>
      </c>
      <c r="B4" s="3" t="s">
        <v>143</v>
      </c>
      <c r="C4" s="3" t="s">
        <v>144</v>
      </c>
      <c r="D4" s="3" t="s">
        <v>145</v>
      </c>
      <c r="E4" s="3" t="s">
        <v>146</v>
      </c>
      <c r="F4" s="3" t="s">
        <v>55</v>
      </c>
    </row>
    <row r="5" customFormat="false" ht="26.85" hidden="false" customHeight="false" outlineLevel="0" collapsed="false">
      <c r="A5" s="38" t="n">
        <v>1</v>
      </c>
      <c r="B5" s="39" t="s">
        <v>147</v>
      </c>
      <c r="C5" s="40" t="s">
        <v>148</v>
      </c>
      <c r="D5" s="41" t="n">
        <v>0.85</v>
      </c>
      <c r="E5" s="42" t="s">
        <v>149</v>
      </c>
      <c r="F5" s="40" t="s">
        <v>150</v>
      </c>
    </row>
    <row r="6" customFormat="false" ht="32.8" hidden="false" customHeight="false" outlineLevel="0" collapsed="false">
      <c r="A6" s="42" t="n">
        <v>2</v>
      </c>
      <c r="B6" s="39" t="s">
        <v>151</v>
      </c>
      <c r="C6" s="43" t="s">
        <v>152</v>
      </c>
      <c r="D6" s="41" t="n">
        <v>0.75</v>
      </c>
      <c r="E6" s="42" t="s">
        <v>153</v>
      </c>
      <c r="F6" s="40" t="s">
        <v>154</v>
      </c>
    </row>
    <row r="7" customFormat="false" ht="32.8" hidden="false" customHeight="false" outlineLevel="0" collapsed="false">
      <c r="A7" s="42" t="n">
        <v>3</v>
      </c>
      <c r="B7" s="44" t="s">
        <v>155</v>
      </c>
      <c r="C7" s="40" t="s">
        <v>156</v>
      </c>
      <c r="D7" s="41" t="n">
        <v>0.4</v>
      </c>
      <c r="E7" s="42" t="s">
        <v>149</v>
      </c>
      <c r="F7" s="40" t="s">
        <v>157</v>
      </c>
    </row>
    <row r="8" customFormat="false" ht="26.85" hidden="false" customHeight="false" outlineLevel="0" collapsed="false">
      <c r="A8" s="42" t="n">
        <v>4</v>
      </c>
      <c r="B8" s="39" t="s">
        <v>158</v>
      </c>
      <c r="C8" s="40" t="s">
        <v>159</v>
      </c>
      <c r="D8" s="41" t="n">
        <v>0.5</v>
      </c>
      <c r="E8" s="42" t="s">
        <v>149</v>
      </c>
      <c r="F8" s="40" t="s">
        <v>160</v>
      </c>
    </row>
    <row r="9" customFormat="false" ht="26.85" hidden="false" customHeight="false" outlineLevel="0" collapsed="false">
      <c r="A9" s="42" t="n">
        <v>5</v>
      </c>
      <c r="B9" s="44" t="s">
        <v>161</v>
      </c>
      <c r="C9" s="40" t="s">
        <v>162</v>
      </c>
      <c r="D9" s="41" t="n">
        <v>0.84</v>
      </c>
      <c r="E9" s="42" t="s">
        <v>149</v>
      </c>
      <c r="F9" s="43" t="s">
        <v>163</v>
      </c>
    </row>
    <row r="10" customFormat="false" ht="17.15" hidden="false" customHeight="false" outlineLevel="0" collapsed="false">
      <c r="A10" s="42" t="n">
        <v>6</v>
      </c>
      <c r="B10" s="39" t="s">
        <v>164</v>
      </c>
      <c r="C10" s="40" t="s">
        <v>165</v>
      </c>
      <c r="D10" s="41" t="n">
        <v>0.5</v>
      </c>
      <c r="E10" s="42" t="s">
        <v>149</v>
      </c>
      <c r="F10" s="43" t="s">
        <v>166</v>
      </c>
    </row>
    <row r="13" customFormat="false" ht="17.15" hidden="false" customHeight="false" outlineLevel="0" collapsed="false">
      <c r="A13" s="7" t="s">
        <v>167</v>
      </c>
    </row>
    <row r="14" customFormat="false" ht="17.15" hidden="false" customHeight="false" outlineLevel="0" collapsed="false">
      <c r="A14" s="4" t="s">
        <v>168</v>
      </c>
      <c r="B14" s="35" t="n">
        <f aca="false">'1人あたり原価'!F10</f>
        <v>671.302058</v>
      </c>
    </row>
    <row r="15" customFormat="false" ht="17.15" hidden="false" customHeight="false" outlineLevel="0" collapsed="false">
      <c r="A15" s="4" t="s">
        <v>169</v>
      </c>
      <c r="B15" s="35" t="n">
        <f aca="false">('1人あたり原価'!F5+'1人あたり原価'!F6)*(1-D6)*(1-D7)*(1-D8)</f>
        <v>42.373632</v>
      </c>
    </row>
    <row r="16" customFormat="false" ht="17.15" hidden="false" customHeight="false" outlineLevel="0" collapsed="false">
      <c r="A16" s="4" t="s">
        <v>170</v>
      </c>
      <c r="B16" s="35" t="n">
        <f aca="false">'1人あたり原価'!F7*(1-D5)</f>
        <v>15.890112</v>
      </c>
    </row>
    <row r="17" customFormat="false" ht="17.15" hidden="false" customHeight="false" outlineLevel="0" collapsed="false">
      <c r="A17" s="11" t="s">
        <v>171</v>
      </c>
      <c r="B17" s="35" t="n">
        <f aca="false">'1人あたり原価'!F8</f>
        <v>0.386218</v>
      </c>
    </row>
    <row r="18" customFormat="false" ht="17.15" hidden="false" customHeight="false" outlineLevel="0" collapsed="false">
      <c r="A18" s="24" t="s">
        <v>172</v>
      </c>
      <c r="B18" s="34" t="n">
        <f aca="false">B15+B16+B17</f>
        <v>58.649962</v>
      </c>
    </row>
    <row r="19" customFormat="false" ht="17.15" hidden="false" customHeight="false" outlineLevel="0" collapsed="false">
      <c r="A19" s="4" t="s">
        <v>119</v>
      </c>
      <c r="B19" s="35" t="n">
        <f aca="false">前提条件!B26*(1-前提条件!B28)</f>
        <v>280</v>
      </c>
    </row>
    <row r="20" customFormat="false" ht="15" hidden="false" customHeight="false" outlineLevel="0" collapsed="false">
      <c r="A20" s="24" t="s">
        <v>173</v>
      </c>
      <c r="B20" s="34" t="n">
        <f aca="false">B19-B18</f>
        <v>221.350038</v>
      </c>
      <c r="D20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2026-08-02T13:44:01Z</dcterms:created>
  <dc:creator>openpyxl</dc:creator>
  <dc:description/>
  <dc:language>en-US</dc:language>
  <cp:lastModifiedBy/>
  <dcterms:modified xsi:type="dcterms:W3CDTF">2026-08-02T13:44:01Z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